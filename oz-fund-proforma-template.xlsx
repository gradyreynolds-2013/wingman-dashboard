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 Dashboard" sheetId="1" state="visible" r:id="rId1"/>
    <sheet name="2_Development Budget" sheetId="2" state="visible" r:id="rId2"/>
    <sheet name="3_Unit Mix Revenue" sheetId="3" state="visible" r:id="rId3"/>
    <sheet name="4_Operating Expenses" sheetId="4" state="visible" r:id="rId4"/>
    <sheet name="5_Debt Schedule" sheetId="5" state="visible" r:id="rId5"/>
    <sheet name="6_Cash Flow Analysis" sheetId="6" state="visible" r:id="rId6"/>
    <sheet name="7_Returns Ex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($#,##0)"/>
    <numFmt numFmtId="167" formatCode="0.00x"/>
  </numFmts>
  <fonts count="12">
    <font>
      <name val="Calibri"/>
      <family val="2"/>
      <color theme="1"/>
      <sz val="11"/>
      <scheme val="minor"/>
    </font>
    <font>
      <b val="1"/>
      <color rgb="004472C4"/>
      <sz val="18"/>
    </font>
    <font>
      <i val="1"/>
      <sz val="12"/>
    </font>
    <font>
      <b val="1"/>
      <sz val="11"/>
    </font>
    <font>
      <b val="1"/>
    </font>
    <font>
      <b val="1"/>
      <color rgb="004472C4"/>
    </font>
    <font>
      <b val="1"/>
      <color rgb="004472C4"/>
      <sz val="16"/>
    </font>
    <font>
      <b val="1"/>
      <color rgb="00FFFFFF"/>
      <sz val="11"/>
    </font>
    <font>
      <b val="1"/>
      <sz val="12"/>
    </font>
    <font>
      <i val="1"/>
    </font>
    <font>
      <b val="1"/>
      <i val="1"/>
    </font>
    <font>
      <b val="1"/>
      <color rgb="00006400"/>
      <sz val="12"/>
    </font>
  </fonts>
  <fills count="6">
    <fill>
      <patternFill/>
    </fill>
    <fill>
      <patternFill patternType="gray125"/>
    </fill>
    <fill>
      <patternFill patternType="solid">
        <fgColor rgb="00D6DCE5"/>
        <bgColor rgb="00D6DCE5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1" pivotButton="0" quotePrefix="0" xfId="0"/>
    <xf numFmtId="1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1" pivotButton="0" quotePrefix="0" xfId="0"/>
    <xf numFmtId="165" fontId="0" fillId="3" borderId="1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8" fillId="5" borderId="1" pivotButton="0" quotePrefix="0" xfId="0"/>
    <xf numFmtId="164" fontId="8" fillId="5" borderId="1" pivotButton="0" quotePrefix="0" xfId="0"/>
    <xf numFmtId="166" fontId="0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10" fontId="0" fillId="3" borderId="1" pivotButton="0" quotePrefix="0" xfId="0"/>
    <xf numFmtId="167" fontId="0" fillId="0" borderId="0" pivotButton="0" quotePrefix="0" xfId="0"/>
    <xf numFmtId="167" fontId="4" fillId="5" borderId="1" pivotButton="0" quotePrefix="0" xfId="0"/>
    <xf numFmtId="10" fontId="4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5" customWidth="1" min="6" max="6"/>
    <col width="18" customWidth="1" min="7" max="7"/>
    <col width="15" customWidth="1" min="8" max="8"/>
  </cols>
  <sheetData>
    <row r="1">
      <c r="A1" s="1" t="inlineStr">
        <is>
          <t>OPPORTUNITY ZONE FUND PRO FORMA</t>
        </is>
      </c>
    </row>
    <row r="2">
      <c r="A2" s="2" t="inlineStr">
        <is>
          <t>Multifamily Development Analysis</t>
        </is>
      </c>
    </row>
    <row r="4">
      <c r="A4" s="3" t="inlineStr">
        <is>
          <t>PROJECT OVERVIEW</t>
        </is>
      </c>
      <c r="B4" s="4" t="n"/>
      <c r="C4" s="4" t="n"/>
      <c r="D4" s="5" t="n"/>
      <c r="E4" s="3" t="n"/>
      <c r="F4" s="3" t="inlineStr">
        <is>
          <t>KEY METRICS</t>
        </is>
      </c>
      <c r="G4" s="4" t="n"/>
      <c r="H4" s="5" t="n"/>
    </row>
    <row r="5">
      <c r="A5" s="6" t="inlineStr">
        <is>
          <t>Project Name:</t>
        </is>
      </c>
      <c r="B5" t="inlineStr">
        <is>
          <t>OZ Multifamily Fund - Property 1</t>
        </is>
      </c>
      <c r="F5" s="6" t="inlineStr">
        <is>
          <t>Total Project Cost:</t>
        </is>
      </c>
      <c r="G5" s="7">
        <f>'2_Development Budget'!C32</f>
        <v/>
      </c>
    </row>
    <row r="6">
      <c r="A6" s="6" t="inlineStr">
        <is>
          <t>Location:</t>
        </is>
      </c>
      <c r="B6" s="8" t="inlineStr">
        <is>
          <t>Enter City, State</t>
        </is>
      </c>
      <c r="F6" s="6" t="inlineStr">
        <is>
          <t>Equity Required:</t>
        </is>
      </c>
      <c r="G6" s="7">
        <f>'5_Debt Schedule'!C7</f>
        <v/>
      </c>
    </row>
    <row r="7">
      <c r="A7" s="6" t="inlineStr">
        <is>
          <t>Property Type:</t>
        </is>
      </c>
      <c r="B7" t="inlineStr">
        <is>
          <t>Multifamily</t>
        </is>
      </c>
      <c r="F7" s="6" t="inlineStr">
        <is>
          <t>Debt Amount:</t>
        </is>
      </c>
      <c r="G7" s="7">
        <f>'5_Debt Schedule'!C5</f>
        <v/>
      </c>
    </row>
    <row r="8">
      <c r="A8" s="6" t="inlineStr">
        <is>
          <t>Total Units:</t>
        </is>
      </c>
      <c r="B8" t="n">
        <v>50</v>
      </c>
      <c r="F8" s="6" t="inlineStr">
        <is>
          <t>LTV %:</t>
        </is>
      </c>
      <c r="G8" s="9">
        <f>'5_Debt Schedule'!C4</f>
        <v/>
      </c>
    </row>
    <row r="9">
      <c r="A9" s="6" t="inlineStr">
        <is>
          <t>Year Built/Renovated:</t>
        </is>
      </c>
      <c r="B9" t="n">
        <v>2026</v>
      </c>
      <c r="F9" s="6" t="inlineStr">
        <is>
          <t>Cap Rate (Going-In):</t>
        </is>
      </c>
      <c r="G9" s="9">
        <f>'4_Operating Expenses'!D18/'2_Development Budget'!C32</f>
        <v/>
      </c>
    </row>
    <row r="10">
      <c r="A10" s="6" t="inlineStr">
        <is>
          <t>OZ Designation:</t>
        </is>
      </c>
      <c r="B10" t="inlineStr">
        <is>
          <t>Qualified Opportunity Zone</t>
        </is>
      </c>
      <c r="F10" s="6" t="inlineStr">
        <is>
          <t>Price Per Unit:</t>
        </is>
      </c>
      <c r="G10" s="7">
        <f>'2_Development Budget'!C32/B8</f>
        <v/>
      </c>
    </row>
    <row r="12">
      <c r="A12" s="3" t="inlineStr">
        <is>
          <t>RETURNS SNAPSHOT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6" t="inlineStr">
        <is>
          <t>Year 1 Cash-on-Cash:</t>
        </is>
      </c>
      <c r="B13" s="7">
        <f>'6_Cash Flow Analysis'!C24</f>
        <v/>
      </c>
      <c r="F13" s="6" t="inlineStr">
        <is>
          <t>Total Cash Returned:</t>
        </is>
      </c>
      <c r="G13" s="7">
        <f>'6_Cash Flow Analysis'!L25</f>
        <v/>
      </c>
    </row>
    <row r="14">
      <c r="A14" s="6" t="inlineStr">
        <is>
          <t>10-Year IRR:</t>
        </is>
      </c>
      <c r="B14" s="9">
        <f>'7_Returns Exit'!C30</f>
        <v/>
      </c>
      <c r="F14" s="6" t="inlineStr">
        <is>
          <t>Exit Equity Proceeds:</t>
        </is>
      </c>
      <c r="G14" s="7">
        <f>'7_Returns Exit'!C13</f>
        <v/>
      </c>
    </row>
    <row r="15">
      <c r="A15" s="6" t="inlineStr">
        <is>
          <t>Equity Multiple:</t>
        </is>
      </c>
      <c r="B15" s="9">
        <f>'7_Returns Exit'!C29</f>
        <v/>
      </c>
      <c r="F15" s="6" t="inlineStr">
        <is>
          <t>Total Return ($):</t>
        </is>
      </c>
      <c r="G15" s="7">
        <f>'7_Returns Exit'!C27</f>
        <v/>
      </c>
    </row>
    <row r="16">
      <c r="A16" s="6" t="inlineStr">
        <is>
          <t>Exit Value (Year 10):</t>
        </is>
      </c>
      <c r="B16" s="7">
        <f>'7_Returns Exit'!C9</f>
        <v/>
      </c>
      <c r="F16" s="6" t="inlineStr">
        <is>
          <t>Total Return (%):</t>
        </is>
      </c>
      <c r="G16" s="9">
        <f>'7_Returns Exit'!C28</f>
        <v/>
      </c>
    </row>
    <row r="18">
      <c r="A18" s="3" t="inlineStr">
        <is>
          <t>INVESTMENT TIMELINE</t>
        </is>
      </c>
      <c r="B18" s="4" t="n"/>
      <c r="C18" s="4" t="n"/>
      <c r="D18" s="4" t="n"/>
      <c r="E18" s="4" t="n"/>
      <c r="F18" s="4" t="n"/>
      <c r="G18" s="4" t="n"/>
      <c r="H18" s="5" t="n"/>
    </row>
    <row r="19">
      <c r="A19" s="10" t="inlineStr">
        <is>
          <t>Year 0</t>
        </is>
      </c>
      <c r="B19" s="10" t="inlineStr">
        <is>
          <t>Years 1-2</t>
        </is>
      </c>
      <c r="C19" s="10" t="inlineStr">
        <is>
          <t>Years 3-5</t>
        </is>
      </c>
      <c r="D19" s="10" t="inlineStr">
        <is>
          <t>Years 6-9</t>
        </is>
      </c>
      <c r="E19" s="10" t="inlineStr">
        <is>
          <t>Year 10</t>
        </is>
      </c>
    </row>
    <row r="20">
      <c r="A20" s="11" t="inlineStr">
        <is>
          <t>Acquisition &amp; Development</t>
        </is>
      </c>
      <c r="B20" s="11" t="inlineStr">
        <is>
          <t>Renovation &amp; Lease-Up</t>
        </is>
      </c>
      <c r="C20" s="11" t="inlineStr">
        <is>
          <t>Stabilization &amp; Refinance</t>
        </is>
      </c>
      <c r="D20" s="11" t="inlineStr">
        <is>
          <t>Cash Flow Operations</t>
        </is>
      </c>
      <c r="E20" s="11" t="inlineStr">
        <is>
          <t>Tax-Free Exit</t>
        </is>
      </c>
    </row>
    <row r="22">
      <c r="A22" s="3" t="inlineStr">
        <is>
          <t>OZ TAX BENEFITS</t>
        </is>
      </c>
      <c r="B22" s="4" t="n"/>
      <c r="C22" s="4" t="n"/>
      <c r="D22" s="4" t="n"/>
      <c r="E22" s="4" t="n"/>
      <c r="F22" s="4" t="n"/>
      <c r="G22" s="4" t="n"/>
      <c r="H22" s="5" t="n"/>
    </row>
    <row r="23">
      <c r="A23" s="6" t="inlineStr">
        <is>
          <t>Original Capital Gain (Input):</t>
        </is>
      </c>
      <c r="B23" s="12" t="n">
        <v>1000000</v>
      </c>
      <c r="F23" s="6" t="inlineStr">
        <is>
          <t>Traditional Investment Tax:</t>
        </is>
      </c>
      <c r="G23" s="7">
        <f>'7_Returns Exit'!C35</f>
        <v/>
      </c>
    </row>
    <row r="24">
      <c r="A24" s="6" t="inlineStr">
        <is>
          <t>Federal Tax Rate:</t>
        </is>
      </c>
      <c r="B24" s="13" t="n">
        <v>0.238</v>
      </c>
      <c r="F24" s="6" t="inlineStr">
        <is>
          <t>OZ Fund Tax:</t>
        </is>
      </c>
      <c r="G24" s="7">
        <f>'7_Returns Exit'!C39</f>
        <v/>
      </c>
    </row>
    <row r="25">
      <c r="A25" s="6" t="inlineStr">
        <is>
          <t>State Tax Rate:</t>
        </is>
      </c>
      <c r="B25" s="13" t="n">
        <v>0.05</v>
      </c>
      <c r="F25" s="6" t="inlineStr">
        <is>
          <t>Tax Savings from OZ:</t>
        </is>
      </c>
      <c r="G25" s="7">
        <f>'7_Returns Exit'!C42</f>
        <v/>
      </c>
    </row>
    <row r="26">
      <c r="A26" s="6" t="inlineStr">
        <is>
          <t>Tax Deferred (to Dec 2026):</t>
        </is>
      </c>
      <c r="B26" s="7">
        <f>B23*(B24+B25)</f>
        <v/>
      </c>
    </row>
    <row r="27">
      <c r="A27" s="6" t="inlineStr">
        <is>
          <t>Tax-Free Appreciation:</t>
        </is>
      </c>
      <c r="B27" s="7">
        <f>'7_Returns Exit'!C27</f>
        <v/>
      </c>
    </row>
  </sheetData>
  <mergeCells count="7">
    <mergeCell ref="A12:H12"/>
    <mergeCell ref="A18:H18"/>
    <mergeCell ref="A4:D4"/>
    <mergeCell ref="A2:H2"/>
    <mergeCell ref="F4:H4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2" customWidth="1" min="4" max="4"/>
  </cols>
  <sheetData>
    <row r="1">
      <c r="A1" s="14" t="inlineStr">
        <is>
          <t>DEVELOPMENT BUDGET</t>
        </is>
      </c>
    </row>
    <row r="3">
      <c r="A3" s="15" t="inlineStr">
        <is>
          <t>Category</t>
        </is>
      </c>
      <c r="B3" s="15" t="inlineStr">
        <is>
          <t>Description</t>
        </is>
      </c>
      <c r="C3" s="15" t="inlineStr">
        <is>
          <t>Amount</t>
        </is>
      </c>
      <c r="D3" s="15" t="inlineStr">
        <is>
          <t>% of Total</t>
        </is>
      </c>
    </row>
    <row r="4">
      <c r="A4" s="3" t="inlineStr">
        <is>
          <t>LAND ACQUISITION</t>
        </is>
      </c>
      <c r="B4" s="3" t="n"/>
      <c r="C4" s="3" t="n"/>
      <c r="D4" s="3" t="n"/>
    </row>
    <row r="5">
      <c r="B5" t="inlineStr">
        <is>
          <t>Land Purchase Price</t>
        </is>
      </c>
      <c r="C5" s="12" t="n">
        <v>3000000</v>
      </c>
      <c r="D5" s="16">
        <f>C5/$C$32</f>
        <v/>
      </c>
    </row>
    <row r="6">
      <c r="B6" t="inlineStr">
        <is>
          <t>Closing Costs (2%)</t>
        </is>
      </c>
      <c r="C6" s="7">
        <f>C5*0.02</f>
        <v/>
      </c>
      <c r="D6" s="16">
        <f>C6/$C$32</f>
        <v/>
      </c>
    </row>
    <row r="7">
      <c r="B7" t="inlineStr">
        <is>
          <t>Due Diligence</t>
        </is>
      </c>
      <c r="C7" s="12" t="n">
        <v>25000</v>
      </c>
      <c r="D7" s="16">
        <f>C7/$C$32</f>
        <v/>
      </c>
    </row>
    <row r="8">
      <c r="A8" s="17" t="n"/>
      <c r="B8" s="17" t="inlineStr">
        <is>
          <t>Subtotal Land</t>
        </is>
      </c>
      <c r="C8" s="18">
        <f>SUM(C5:C7)</f>
        <v/>
      </c>
      <c r="D8" s="19">
        <f>C8/$C$32</f>
        <v/>
      </c>
    </row>
    <row r="9">
      <c r="A9" s="3" t="inlineStr">
        <is>
          <t>HARD CONSTRUCTION COSTS</t>
        </is>
      </c>
      <c r="B9" s="3" t="n"/>
      <c r="C9" s="3" t="n"/>
      <c r="D9" s="3" t="n"/>
    </row>
    <row r="10">
      <c r="B10" t="inlineStr">
        <is>
          <t>Site Work &amp; Utilities</t>
        </is>
      </c>
      <c r="C10" s="12" t="n">
        <v>500000</v>
      </c>
      <c r="D10" s="16">
        <f>C10/$C$32</f>
        <v/>
      </c>
    </row>
    <row r="11">
      <c r="B11" t="inlineStr">
        <is>
          <t>Building Construction</t>
        </is>
      </c>
      <c r="C11" s="12" t="n">
        <v>8500000</v>
      </c>
      <c r="D11" s="16">
        <f>C11/$C$32</f>
        <v/>
      </c>
    </row>
    <row r="12">
      <c r="B12" t="inlineStr">
        <is>
          <t>Parking &amp; Landscaping</t>
        </is>
      </c>
      <c r="C12" s="12" t="n">
        <v>400000</v>
      </c>
      <c r="D12" s="16">
        <f>C12/$C$32</f>
        <v/>
      </c>
    </row>
    <row r="13">
      <c r="B13" t="inlineStr">
        <is>
          <t>FF&amp;E (Common Areas)</t>
        </is>
      </c>
      <c r="C13" s="12" t="n">
        <v>300000</v>
      </c>
      <c r="D13" s="16">
        <f>C13/$C$32</f>
        <v/>
      </c>
    </row>
    <row r="14">
      <c r="B14" t="inlineStr">
        <is>
          <t>Unit Finishes/Upgrades</t>
        </is>
      </c>
      <c r="C14" s="12" t="n">
        <v>300000</v>
      </c>
      <c r="D14" s="16">
        <f>C14/$C$32</f>
        <v/>
      </c>
    </row>
    <row r="15">
      <c r="A15" s="17" t="n"/>
      <c r="B15" s="17" t="inlineStr">
        <is>
          <t>Subtotal Hard Costs</t>
        </is>
      </c>
      <c r="C15" s="18">
        <f>SUM(C10:C14)</f>
        <v/>
      </c>
      <c r="D15" s="19">
        <f>C15/$C$32</f>
        <v/>
      </c>
    </row>
    <row r="16">
      <c r="A16" s="3" t="inlineStr">
        <is>
          <t>SOFT COSTS</t>
        </is>
      </c>
      <c r="B16" s="3" t="n"/>
      <c r="C16" s="3" t="n"/>
      <c r="D16" s="3" t="n"/>
    </row>
    <row r="17">
      <c r="B17" t="inlineStr">
        <is>
          <t>Architecture &amp; Design</t>
        </is>
      </c>
      <c r="C17" s="12" t="n">
        <v>350000</v>
      </c>
      <c r="D17" s="16">
        <f>C17/$C$32</f>
        <v/>
      </c>
    </row>
    <row r="18">
      <c r="B18" t="inlineStr">
        <is>
          <t>Engineering</t>
        </is>
      </c>
      <c r="C18" s="12" t="n">
        <v>150000</v>
      </c>
      <c r="D18" s="16">
        <f>C18/$C$32</f>
        <v/>
      </c>
    </row>
    <row r="19">
      <c r="B19" t="inlineStr">
        <is>
          <t>Permits &amp; Impact Fees</t>
        </is>
      </c>
      <c r="C19" s="12" t="n">
        <v>200000</v>
      </c>
      <c r="D19" s="16">
        <f>C19/$C$32</f>
        <v/>
      </c>
    </row>
    <row r="20">
      <c r="B20" t="inlineStr">
        <is>
          <t>Legal &amp; Accounting</t>
        </is>
      </c>
      <c r="C20" s="12" t="n">
        <v>100000</v>
      </c>
      <c r="D20" s="16">
        <f>C20/$C$32</f>
        <v/>
      </c>
    </row>
    <row r="21">
      <c r="B21" t="inlineStr">
        <is>
          <t>Financing Fees (2% of loan)</t>
        </is>
      </c>
      <c r="C21" s="7">
        <f>$C$32*0.75*0.02</f>
        <v/>
      </c>
      <c r="D21" s="16">
        <f>C21/$C$32</f>
        <v/>
      </c>
    </row>
    <row r="22">
      <c r="B22" t="inlineStr">
        <is>
          <t>Construction Interest</t>
        </is>
      </c>
      <c r="C22" s="12" t="n">
        <v>250000</v>
      </c>
      <c r="D22" s="16">
        <f>C22/$C$32</f>
        <v/>
      </c>
    </row>
    <row r="23">
      <c r="B23" t="inlineStr">
        <is>
          <t>Insurance (Builder's Risk)</t>
        </is>
      </c>
      <c r="C23" s="12" t="n">
        <v>75000</v>
      </c>
      <c r="D23" s="16">
        <f>C23/$C$32</f>
        <v/>
      </c>
    </row>
    <row r="24">
      <c r="B24" t="inlineStr">
        <is>
          <t>Marketing &amp; Lease-Up</t>
        </is>
      </c>
      <c r="C24" s="12" t="n">
        <v>100000</v>
      </c>
      <c r="D24" s="16">
        <f>C24/$C$32</f>
        <v/>
      </c>
    </row>
    <row r="25">
      <c r="A25" s="17" t="n"/>
      <c r="B25" s="17" t="inlineStr">
        <is>
          <t>Subtotal Soft Costs</t>
        </is>
      </c>
      <c r="C25" s="18">
        <f>SUM(C17:C24)</f>
        <v/>
      </c>
      <c r="D25" s="19">
        <f>C25/$C$32</f>
        <v/>
      </c>
    </row>
    <row r="26">
      <c r="A26" s="3" t="inlineStr">
        <is>
          <t>DEVELOPMENT FEE</t>
        </is>
      </c>
      <c r="B26" s="3" t="n"/>
      <c r="C26" s="3" t="n"/>
      <c r="D26" s="3" t="n"/>
    </row>
    <row r="27">
      <c r="B27" t="inlineStr">
        <is>
          <t>Development Fee (5% of hard costs)</t>
        </is>
      </c>
      <c r="C27" s="7">
        <f>C15*0.05</f>
        <v/>
      </c>
      <c r="D27" s="16">
        <f>C27/$C$32</f>
        <v/>
      </c>
    </row>
    <row r="28">
      <c r="A28" s="3" t="inlineStr">
        <is>
          <t>CONTINGENCY</t>
        </is>
      </c>
      <c r="B28" s="3" t="n"/>
      <c r="C28" s="3" t="n"/>
      <c r="D28" s="3" t="n"/>
    </row>
    <row r="29">
      <c r="B29" t="inlineStr">
        <is>
          <t>Contingency (7% of hard + soft)</t>
        </is>
      </c>
      <c r="C29" s="7">
        <f>(C15+C25)*0.07</f>
        <v/>
      </c>
      <c r="D29" s="16">
        <f>C29/$C$32</f>
        <v/>
      </c>
    </row>
    <row r="31">
      <c r="A31" s="20" t="inlineStr">
        <is>
          <t>TOTAL PROJECT COST</t>
        </is>
      </c>
      <c r="B31" s="17" t="n"/>
      <c r="C31" s="21">
        <f>C8+C15+C25+C27+C29</f>
        <v/>
      </c>
      <c r="D31" s="17" t="inlineStr">
        <is>
          <t>100.0%</t>
        </is>
      </c>
    </row>
    <row r="33">
      <c r="A33" s="6" t="inlineStr">
        <is>
          <t>Cost Per Unit:</t>
        </is>
      </c>
      <c r="C33" s="7">
        <f>C31/'1_Summary Dashboard'!B8</f>
        <v/>
      </c>
    </row>
    <row r="34">
      <c r="A34" s="6" t="inlineStr">
        <is>
          <t>Hard Cost Per Unit:</t>
        </is>
      </c>
      <c r="C34" s="7">
        <f>C15/'1_Summary Dashboard'!B8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4" t="inlineStr">
        <is>
          <t>UNIT MIX &amp; REVENUE PROJECTIONS</t>
        </is>
      </c>
    </row>
    <row r="3">
      <c r="A3" s="15" t="inlineStr">
        <is>
          <t>Unit Type</t>
        </is>
      </c>
      <c r="B3" s="15" t="inlineStr">
        <is>
          <t>Units</t>
        </is>
      </c>
      <c r="C3" s="15" t="inlineStr">
        <is>
          <t>Mo. Rent</t>
        </is>
      </c>
      <c r="D3" s="15" t="inlineStr">
        <is>
          <t>Growth</t>
        </is>
      </c>
      <c r="E3" s="15" t="inlineStr">
        <is>
          <t>Year 1</t>
        </is>
      </c>
      <c r="F3" s="15" t="inlineStr">
        <is>
          <t>Year 2</t>
        </is>
      </c>
      <c r="G3" s="15" t="inlineStr">
        <is>
          <t>Year 3</t>
        </is>
      </c>
      <c r="H3" s="15" t="inlineStr">
        <is>
          <t>Year 4</t>
        </is>
      </c>
      <c r="I3" s="15" t="inlineStr">
        <is>
          <t>Year 5</t>
        </is>
      </c>
      <c r="J3" s="15" t="inlineStr">
        <is>
          <t>Year 6</t>
        </is>
      </c>
      <c r="K3" s="15" t="inlineStr">
        <is>
          <t>Year 7</t>
        </is>
      </c>
      <c r="L3" s="15" t="inlineStr">
        <is>
          <t>Year 8</t>
        </is>
      </c>
      <c r="M3" s="15" t="inlineStr">
        <is>
          <t>Year 9</t>
        </is>
      </c>
      <c r="N3" s="15" t="inlineStr">
        <is>
          <t>Year 10</t>
        </is>
      </c>
    </row>
    <row r="4">
      <c r="A4" s="3" t="inlineStr">
        <is>
          <t>RENTAL INCOME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t="inlineStr">
        <is>
          <t>Studio</t>
        </is>
      </c>
      <c r="B5" s="8" t="n">
        <v>10</v>
      </c>
      <c r="C5" s="12" t="n">
        <v>1200</v>
      </c>
      <c r="D5" s="13" t="n">
        <v>0.03</v>
      </c>
      <c r="E5" s="7">
        <f>B5*C5*12</f>
        <v/>
      </c>
      <c r="F5" s="7">
        <f>E5*(1+$D5)</f>
        <v/>
      </c>
      <c r="G5" s="7">
        <f>F5*(1+$D5)</f>
        <v/>
      </c>
      <c r="H5" s="7">
        <f>G5*(1+$D5)</f>
        <v/>
      </c>
      <c r="I5" s="7">
        <f>H5*(1+$D5)</f>
        <v/>
      </c>
      <c r="J5" s="7">
        <f>I5*(1+$D5)</f>
        <v/>
      </c>
      <c r="K5" s="7">
        <f>J5*(1+$D5)</f>
        <v/>
      </c>
      <c r="L5" s="7">
        <f>K5*(1+$D5)</f>
        <v/>
      </c>
      <c r="M5" s="7">
        <f>L5*(1+$D5)</f>
        <v/>
      </c>
      <c r="N5" s="7">
        <f>M5*(1+$D5)</f>
        <v/>
      </c>
    </row>
    <row r="6">
      <c r="A6" t="inlineStr">
        <is>
          <t>1 Bedroom</t>
        </is>
      </c>
      <c r="B6" s="8" t="n">
        <v>25</v>
      </c>
      <c r="C6" s="12" t="n">
        <v>1500</v>
      </c>
      <c r="D6" s="13" t="n">
        <v>0.03</v>
      </c>
      <c r="E6" s="7">
        <f>B6*C6*12</f>
        <v/>
      </c>
      <c r="F6" s="7">
        <f>E6*(1+$D6)</f>
        <v/>
      </c>
      <c r="G6" s="7">
        <f>F6*(1+$D6)</f>
        <v/>
      </c>
      <c r="H6" s="7">
        <f>G6*(1+$D6)</f>
        <v/>
      </c>
      <c r="I6" s="7">
        <f>H6*(1+$D6)</f>
        <v/>
      </c>
      <c r="J6" s="7">
        <f>I6*(1+$D6)</f>
        <v/>
      </c>
      <c r="K6" s="7">
        <f>J6*(1+$D6)</f>
        <v/>
      </c>
      <c r="L6" s="7">
        <f>K6*(1+$D6)</f>
        <v/>
      </c>
      <c r="M6" s="7">
        <f>L6*(1+$D6)</f>
        <v/>
      </c>
      <c r="N6" s="7">
        <f>M6*(1+$D6)</f>
        <v/>
      </c>
    </row>
    <row r="7">
      <c r="A7" t="inlineStr">
        <is>
          <t>2 Bedroom</t>
        </is>
      </c>
      <c r="B7" s="8" t="n">
        <v>12</v>
      </c>
      <c r="C7" s="12" t="n">
        <v>2000</v>
      </c>
      <c r="D7" s="13" t="n">
        <v>0.03</v>
      </c>
      <c r="E7" s="7">
        <f>B7*C7*12</f>
        <v/>
      </c>
      <c r="F7" s="7">
        <f>E7*(1+$D7)</f>
        <v/>
      </c>
      <c r="G7" s="7">
        <f>F7*(1+$D7)</f>
        <v/>
      </c>
      <c r="H7" s="7">
        <f>G7*(1+$D7)</f>
        <v/>
      </c>
      <c r="I7" s="7">
        <f>H7*(1+$D7)</f>
        <v/>
      </c>
      <c r="J7" s="7">
        <f>I7*(1+$D7)</f>
        <v/>
      </c>
      <c r="K7" s="7">
        <f>J7*(1+$D7)</f>
        <v/>
      </c>
      <c r="L7" s="7">
        <f>K7*(1+$D7)</f>
        <v/>
      </c>
      <c r="M7" s="7">
        <f>L7*(1+$D7)</f>
        <v/>
      </c>
      <c r="N7" s="7">
        <f>M7*(1+$D7)</f>
        <v/>
      </c>
    </row>
    <row r="8">
      <c r="A8" t="inlineStr">
        <is>
          <t>3 Bedroom</t>
        </is>
      </c>
      <c r="B8" s="8" t="n">
        <v>3</v>
      </c>
      <c r="C8" s="12" t="n">
        <v>2400</v>
      </c>
      <c r="D8" s="13" t="n">
        <v>0.03</v>
      </c>
      <c r="E8" s="7">
        <f>B8*C8*12</f>
        <v/>
      </c>
      <c r="F8" s="7">
        <f>E8*(1+$D8)</f>
        <v/>
      </c>
      <c r="G8" s="7">
        <f>F8*(1+$D8)</f>
        <v/>
      </c>
      <c r="H8" s="7">
        <f>G8*(1+$D8)</f>
        <v/>
      </c>
      <c r="I8" s="7">
        <f>H8*(1+$D8)</f>
        <v/>
      </c>
      <c r="J8" s="7">
        <f>I8*(1+$D8)</f>
        <v/>
      </c>
      <c r="K8" s="7">
        <f>J8*(1+$D8)</f>
        <v/>
      </c>
      <c r="L8" s="7">
        <f>K8*(1+$D8)</f>
        <v/>
      </c>
      <c r="M8" s="7">
        <f>L8*(1+$D8)</f>
        <v/>
      </c>
      <c r="N8" s="7">
        <f>M8*(1+$D8)</f>
        <v/>
      </c>
    </row>
    <row r="9">
      <c r="A9" s="6" t="inlineStr">
        <is>
          <t>Total Units</t>
        </is>
      </c>
      <c r="B9">
        <f>SUM(B5:B8)</f>
        <v/>
      </c>
    </row>
    <row r="10">
      <c r="A10" s="17" t="inlineStr">
        <is>
          <t>GROSS POTENTIAL RENT</t>
        </is>
      </c>
      <c r="B10" s="17" t="n"/>
      <c r="C10" s="17" t="n"/>
      <c r="D10" s="17" t="n"/>
      <c r="E10" s="18">
        <f>SUM(E5:E8)</f>
        <v/>
      </c>
      <c r="F10" s="18">
        <f>SUM(F5:F8)</f>
        <v/>
      </c>
      <c r="G10" s="18">
        <f>SUM(G5:G8)</f>
        <v/>
      </c>
      <c r="H10" s="18">
        <f>SUM(H5:H8)</f>
        <v/>
      </c>
      <c r="I10" s="18">
        <f>SUM(I5:I8)</f>
        <v/>
      </c>
      <c r="J10" s="18">
        <f>SUM(J5:J8)</f>
        <v/>
      </c>
      <c r="K10" s="18">
        <f>SUM(K5:K8)</f>
        <v/>
      </c>
      <c r="L10" s="18">
        <f>SUM(L5:L8)</f>
        <v/>
      </c>
      <c r="M10" s="18">
        <f>SUM(M5:M8)</f>
        <v/>
      </c>
      <c r="N10" s="18">
        <f>SUM(N5:N8)</f>
        <v/>
      </c>
    </row>
    <row r="12">
      <c r="A12" s="3" t="inlineStr">
        <is>
          <t>VACANCY &amp; ADJUSTMENTS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t="inlineStr">
        <is>
          <t>Physical Vacancy</t>
        </is>
      </c>
      <c r="B13" s="13" t="n">
        <v>0.05</v>
      </c>
      <c r="E13" s="22">
        <f>-E$10*$B13</f>
        <v/>
      </c>
      <c r="F13" s="22">
        <f>-F$10*$B13</f>
        <v/>
      </c>
      <c r="G13" s="22">
        <f>-G$10*$B13</f>
        <v/>
      </c>
      <c r="H13" s="22">
        <f>-H$10*$B13</f>
        <v/>
      </c>
      <c r="I13" s="22">
        <f>-I$10*$B13</f>
        <v/>
      </c>
      <c r="J13" s="22">
        <f>-J$10*$B13</f>
        <v/>
      </c>
      <c r="K13" s="22">
        <f>-K$10*$B13</f>
        <v/>
      </c>
      <c r="L13" s="22">
        <f>-L$10*$B13</f>
        <v/>
      </c>
      <c r="M13" s="22">
        <f>-M$10*$B13</f>
        <v/>
      </c>
      <c r="N13" s="22">
        <f>-N$10*$B13</f>
        <v/>
      </c>
    </row>
    <row r="14">
      <c r="A14" t="inlineStr">
        <is>
          <t>Collection Loss/Bad Debt</t>
        </is>
      </c>
      <c r="B14" s="13" t="n">
        <v>0.005</v>
      </c>
      <c r="E14" s="22">
        <f>-E$10*$B14</f>
        <v/>
      </c>
      <c r="F14" s="22">
        <f>-F$10*$B14</f>
        <v/>
      </c>
      <c r="G14" s="22">
        <f>-G$10*$B14</f>
        <v/>
      </c>
      <c r="H14" s="22">
        <f>-H$10*$B14</f>
        <v/>
      </c>
      <c r="I14" s="22">
        <f>-I$10*$B14</f>
        <v/>
      </c>
      <c r="J14" s="22">
        <f>-J$10*$B14</f>
        <v/>
      </c>
      <c r="K14" s="22">
        <f>-K$10*$B14</f>
        <v/>
      </c>
      <c r="L14" s="22">
        <f>-L$10*$B14</f>
        <v/>
      </c>
      <c r="M14" s="22">
        <f>-M$10*$B14</f>
        <v/>
      </c>
      <c r="N14" s="22">
        <f>-N$10*$B14</f>
        <v/>
      </c>
    </row>
    <row r="15">
      <c r="A15" t="inlineStr">
        <is>
          <t>Concessions</t>
        </is>
      </c>
      <c r="B15" s="13" t="n">
        <v>0.005</v>
      </c>
      <c r="E15" s="22">
        <f>-E$10*$B15</f>
        <v/>
      </c>
      <c r="F15" s="22">
        <f>-F$10*$B15</f>
        <v/>
      </c>
      <c r="G15" s="22">
        <f>-G$10*$B15</f>
        <v/>
      </c>
      <c r="H15" s="22">
        <f>-H$10*$B15</f>
        <v/>
      </c>
      <c r="I15" s="22">
        <f>-I$10*$B15</f>
        <v/>
      </c>
      <c r="J15" s="22">
        <f>-J$10*$B15</f>
        <v/>
      </c>
      <c r="K15" s="22">
        <f>-K$10*$B15</f>
        <v/>
      </c>
      <c r="L15" s="22">
        <f>-L$10*$B15</f>
        <v/>
      </c>
      <c r="M15" s="22">
        <f>-M$10*$B15</f>
        <v/>
      </c>
      <c r="N15" s="22">
        <f>-N$10*$B15</f>
        <v/>
      </c>
    </row>
    <row r="16">
      <c r="A16" s="6" t="inlineStr">
        <is>
          <t>Total Vacancy/Loss</t>
        </is>
      </c>
      <c r="E16" s="22">
        <f>SUM(E13:E15)</f>
        <v/>
      </c>
      <c r="F16" s="22">
        <f>SUM(F13:F15)</f>
        <v/>
      </c>
      <c r="G16" s="22">
        <f>SUM(G13:G15)</f>
        <v/>
      </c>
      <c r="H16" s="22">
        <f>SUM(H13:H15)</f>
        <v/>
      </c>
      <c r="I16" s="22">
        <f>SUM(I13:I15)</f>
        <v/>
      </c>
      <c r="J16" s="22">
        <f>SUM(J13:J15)</f>
        <v/>
      </c>
      <c r="K16" s="22">
        <f>SUM(K13:K15)</f>
        <v/>
      </c>
      <c r="L16" s="22">
        <f>SUM(L13:L15)</f>
        <v/>
      </c>
      <c r="M16" s="22">
        <f>SUM(M13:M15)</f>
        <v/>
      </c>
      <c r="N16" s="22">
        <f>SUM(N13:N15)</f>
        <v/>
      </c>
    </row>
    <row r="17">
      <c r="A17" s="17" t="inlineStr">
        <is>
          <t>GROSS OPERATING INCOME</t>
        </is>
      </c>
      <c r="B17" s="17" t="n"/>
      <c r="C17" s="17" t="n"/>
      <c r="D17" s="17" t="n"/>
      <c r="E17" s="18">
        <f>E10+E16</f>
        <v/>
      </c>
      <c r="F17" s="18">
        <f>F10+F16</f>
        <v/>
      </c>
      <c r="G17" s="18">
        <f>G10+G16</f>
        <v/>
      </c>
      <c r="H17" s="18">
        <f>H10+H16</f>
        <v/>
      </c>
      <c r="I17" s="18">
        <f>I10+I16</f>
        <v/>
      </c>
      <c r="J17" s="18">
        <f>J10+J16</f>
        <v/>
      </c>
      <c r="K17" s="18">
        <f>K10+K16</f>
        <v/>
      </c>
      <c r="L17" s="18">
        <f>L10+L16</f>
        <v/>
      </c>
      <c r="M17" s="18">
        <f>M10+M16</f>
        <v/>
      </c>
      <c r="N17" s="18">
        <f>N10+N16</f>
        <v/>
      </c>
    </row>
    <row r="19">
      <c r="A19" s="3" t="inlineStr">
        <is>
          <t>OTHER INCOME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t="inlineStr">
        <is>
          <t>Parking</t>
        </is>
      </c>
      <c r="B20" s="12" t="n">
        <v>50</v>
      </c>
      <c r="C20" t="inlineStr">
        <is>
          <t>per unit/mo</t>
        </is>
      </c>
      <c r="D20" s="13" t="n">
        <v>0.03</v>
      </c>
      <c r="E20" s="7">
        <f>$B$9*$B20*12</f>
        <v/>
      </c>
      <c r="F20" s="7">
        <f>E20*(1+$D20)</f>
        <v/>
      </c>
      <c r="G20" s="7">
        <f>F20*(1+$D20)</f>
        <v/>
      </c>
      <c r="H20" s="7">
        <f>G20*(1+$D20)</f>
        <v/>
      </c>
      <c r="I20" s="7">
        <f>H20*(1+$D20)</f>
        <v/>
      </c>
      <c r="J20" s="7">
        <f>I20*(1+$D20)</f>
        <v/>
      </c>
      <c r="K20" s="7">
        <f>J20*(1+$D20)</f>
        <v/>
      </c>
      <c r="L20" s="7">
        <f>K20*(1+$D20)</f>
        <v/>
      </c>
      <c r="M20" s="7">
        <f>L20*(1+$D20)</f>
        <v/>
      </c>
      <c r="N20" s="7">
        <f>M20*(1+$D20)</f>
        <v/>
      </c>
    </row>
    <row r="21">
      <c r="A21" t="inlineStr">
        <is>
          <t>Storage</t>
        </is>
      </c>
      <c r="B21" s="12" t="n">
        <v>25</v>
      </c>
      <c r="C21" t="inlineStr">
        <is>
          <t>per unit/mo</t>
        </is>
      </c>
      <c r="D21" s="13" t="n">
        <v>0.03</v>
      </c>
      <c r="E21" s="7">
        <f>$B$9*$B21*12</f>
        <v/>
      </c>
      <c r="F21" s="7">
        <f>E21*(1+$D21)</f>
        <v/>
      </c>
      <c r="G21" s="7">
        <f>F21*(1+$D21)</f>
        <v/>
      </c>
      <c r="H21" s="7">
        <f>G21*(1+$D21)</f>
        <v/>
      </c>
      <c r="I21" s="7">
        <f>H21*(1+$D21)</f>
        <v/>
      </c>
      <c r="J21" s="7">
        <f>I21*(1+$D21)</f>
        <v/>
      </c>
      <c r="K21" s="7">
        <f>J21*(1+$D21)</f>
        <v/>
      </c>
      <c r="L21" s="7">
        <f>K21*(1+$D21)</f>
        <v/>
      </c>
      <c r="M21" s="7">
        <f>L21*(1+$D21)</f>
        <v/>
      </c>
      <c r="N21" s="7">
        <f>M21*(1+$D21)</f>
        <v/>
      </c>
    </row>
    <row r="22">
      <c r="A22" t="inlineStr">
        <is>
          <t>Laundry</t>
        </is>
      </c>
      <c r="B22" s="12" t="n">
        <v>15</v>
      </c>
      <c r="C22" t="inlineStr">
        <is>
          <t>per unit/mo</t>
        </is>
      </c>
      <c r="D22" s="13" t="n">
        <v>0.03</v>
      </c>
      <c r="E22" s="7">
        <f>$B$9*$B22*12</f>
        <v/>
      </c>
      <c r="F22" s="7">
        <f>E22*(1+$D22)</f>
        <v/>
      </c>
      <c r="G22" s="7">
        <f>F22*(1+$D22)</f>
        <v/>
      </c>
      <c r="H22" s="7">
        <f>G22*(1+$D22)</f>
        <v/>
      </c>
      <c r="I22" s="7">
        <f>H22*(1+$D22)</f>
        <v/>
      </c>
      <c r="J22" s="7">
        <f>I22*(1+$D22)</f>
        <v/>
      </c>
      <c r="K22" s="7">
        <f>J22*(1+$D22)</f>
        <v/>
      </c>
      <c r="L22" s="7">
        <f>K22*(1+$D22)</f>
        <v/>
      </c>
      <c r="M22" s="7">
        <f>L22*(1+$D22)</f>
        <v/>
      </c>
      <c r="N22" s="7">
        <f>M22*(1+$D22)</f>
        <v/>
      </c>
    </row>
    <row r="23">
      <c r="A23" t="inlineStr">
        <is>
          <t>Pet Fees</t>
        </is>
      </c>
      <c r="B23" s="12" t="n">
        <v>30</v>
      </c>
      <c r="C23" t="inlineStr">
        <is>
          <t>per unit/mo</t>
        </is>
      </c>
      <c r="D23" s="13" t="n">
        <v>0.03</v>
      </c>
      <c r="E23" s="7">
        <f>$B$9*$B23*12</f>
        <v/>
      </c>
      <c r="F23" s="7">
        <f>E23*(1+$D23)</f>
        <v/>
      </c>
      <c r="G23" s="7">
        <f>F23*(1+$D23)</f>
        <v/>
      </c>
      <c r="H23" s="7">
        <f>G23*(1+$D23)</f>
        <v/>
      </c>
      <c r="I23" s="7">
        <f>H23*(1+$D23)</f>
        <v/>
      </c>
      <c r="J23" s="7">
        <f>I23*(1+$D23)</f>
        <v/>
      </c>
      <c r="K23" s="7">
        <f>J23*(1+$D23)</f>
        <v/>
      </c>
      <c r="L23" s="7">
        <f>K23*(1+$D23)</f>
        <v/>
      </c>
      <c r="M23" s="7">
        <f>L23*(1+$D23)</f>
        <v/>
      </c>
      <c r="N23" s="7">
        <f>M23*(1+$D23)</f>
        <v/>
      </c>
    </row>
    <row r="24">
      <c r="A24" t="inlineStr">
        <is>
          <t>Application/Admin Fees</t>
        </is>
      </c>
      <c r="B24" s="12" t="n">
        <v>10</v>
      </c>
      <c r="C24" t="inlineStr">
        <is>
          <t>per unit/mo</t>
        </is>
      </c>
      <c r="D24" s="13" t="n">
        <v>0.03</v>
      </c>
      <c r="E24" s="7">
        <f>$B$9*$B24*12</f>
        <v/>
      </c>
      <c r="F24" s="7">
        <f>E24*(1+$D24)</f>
        <v/>
      </c>
      <c r="G24" s="7">
        <f>F24*(1+$D24)</f>
        <v/>
      </c>
      <c r="H24" s="7">
        <f>G24*(1+$D24)</f>
        <v/>
      </c>
      <c r="I24" s="7">
        <f>H24*(1+$D24)</f>
        <v/>
      </c>
      <c r="J24" s="7">
        <f>I24*(1+$D24)</f>
        <v/>
      </c>
      <c r="K24" s="7">
        <f>J24*(1+$D24)</f>
        <v/>
      </c>
      <c r="L24" s="7">
        <f>K24*(1+$D24)</f>
        <v/>
      </c>
      <c r="M24" s="7">
        <f>L24*(1+$D24)</f>
        <v/>
      </c>
      <c r="N24" s="7">
        <f>M24*(1+$D24)</f>
        <v/>
      </c>
    </row>
    <row r="25">
      <c r="A25" s="17" t="inlineStr">
        <is>
          <t>Total Other Income</t>
        </is>
      </c>
      <c r="B25" s="17" t="n"/>
      <c r="C25" s="17" t="n"/>
      <c r="D25" s="17" t="n"/>
      <c r="E25" s="18">
        <f>SUM(E20:E24)</f>
        <v/>
      </c>
      <c r="F25" s="18">
        <f>SUM(F20:F24)</f>
        <v/>
      </c>
      <c r="G25" s="18">
        <f>SUM(G20:G24)</f>
        <v/>
      </c>
      <c r="H25" s="18">
        <f>SUM(H20:H24)</f>
        <v/>
      </c>
      <c r="I25" s="18">
        <f>SUM(I20:I24)</f>
        <v/>
      </c>
      <c r="J25" s="18">
        <f>SUM(J20:J24)</f>
        <v/>
      </c>
      <c r="K25" s="18">
        <f>SUM(K20:K24)</f>
        <v/>
      </c>
      <c r="L25" s="18">
        <f>SUM(L20:L24)</f>
        <v/>
      </c>
      <c r="M25" s="18">
        <f>SUM(M20:M24)</f>
        <v/>
      </c>
      <c r="N25" s="18">
        <f>SUM(N20:N24)</f>
        <v/>
      </c>
    </row>
    <row r="27">
      <c r="A27" s="17" t="inlineStr">
        <is>
          <t>EFFECTIVE GROSS INCOME (EGI)</t>
        </is>
      </c>
      <c r="B27" s="17" t="n"/>
      <c r="C27" s="17" t="n"/>
      <c r="D27" s="17" t="n"/>
      <c r="E27" s="18">
        <f>E17+E25</f>
        <v/>
      </c>
      <c r="F27" s="18">
        <f>F17+F25</f>
        <v/>
      </c>
      <c r="G27" s="18">
        <f>G17+G25</f>
        <v/>
      </c>
      <c r="H27" s="18">
        <f>H17+H25</f>
        <v/>
      </c>
      <c r="I27" s="18">
        <f>I17+I25</f>
        <v/>
      </c>
      <c r="J27" s="18">
        <f>J17+J25</f>
        <v/>
      </c>
      <c r="K27" s="18">
        <f>K17+K25</f>
        <v/>
      </c>
      <c r="L27" s="18">
        <f>L17+L25</f>
        <v/>
      </c>
      <c r="M27" s="18">
        <f>M17+M25</f>
        <v/>
      </c>
      <c r="N27" s="18">
        <f>N17+N25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4" t="inlineStr">
        <is>
          <t>OPERATING EXPENSES</t>
        </is>
      </c>
    </row>
    <row r="3">
      <c r="A3" s="15" t="inlineStr">
        <is>
          <t>Expense Category</t>
        </is>
      </c>
      <c r="B3" s="15" t="inlineStr">
        <is>
          <t>% of EGI</t>
        </is>
      </c>
      <c r="C3" s="15" t="inlineStr">
        <is>
          <t>Growth</t>
        </is>
      </c>
      <c r="D3" s="15" t="inlineStr">
        <is>
          <t>Year 1</t>
        </is>
      </c>
      <c r="E3" s="15" t="inlineStr">
        <is>
          <t>Year 2</t>
        </is>
      </c>
      <c r="F3" s="15" t="inlineStr">
        <is>
          <t>Year 3</t>
        </is>
      </c>
      <c r="G3" s="15" t="inlineStr">
        <is>
          <t>Year 4</t>
        </is>
      </c>
      <c r="H3" s="15" t="inlineStr">
        <is>
          <t>Year 5</t>
        </is>
      </c>
      <c r="I3" s="15" t="inlineStr">
        <is>
          <t>Year 6</t>
        </is>
      </c>
      <c r="J3" s="15" t="inlineStr">
        <is>
          <t>Year 7</t>
        </is>
      </c>
      <c r="K3" s="15" t="inlineStr">
        <is>
          <t>Year 8</t>
        </is>
      </c>
      <c r="L3" s="15" t="inlineStr">
        <is>
          <t>Year 9</t>
        </is>
      </c>
      <c r="M3" s="15" t="inlineStr">
        <is>
          <t>Year 10</t>
        </is>
      </c>
    </row>
    <row r="4">
      <c r="A4" s="23" t="inlineStr">
        <is>
          <t>Effective Gross Income (Ref)</t>
        </is>
      </c>
      <c r="D4" s="24">
        <f>'3_Unit Mix Revenue'!E27</f>
        <v/>
      </c>
      <c r="E4" s="24">
        <f>'3_Unit Mix Revenue'!F27</f>
        <v/>
      </c>
      <c r="F4" s="24">
        <f>'3_Unit Mix Revenue'!G27</f>
        <v/>
      </c>
      <c r="G4" s="24">
        <f>'3_Unit Mix Revenue'!H27</f>
        <v/>
      </c>
      <c r="H4" s="24">
        <f>'3_Unit Mix Revenue'!I27</f>
        <v/>
      </c>
      <c r="I4" s="24">
        <f>'3_Unit Mix Revenue'!J27</f>
        <v/>
      </c>
      <c r="J4" s="24">
        <f>'3_Unit Mix Revenue'!K27</f>
        <v/>
      </c>
      <c r="K4" s="24">
        <f>'3_Unit Mix Revenue'!L27</f>
        <v/>
      </c>
      <c r="L4" s="24">
        <f>'3_Unit Mix Revenue'!M27</f>
        <v/>
      </c>
      <c r="M4" s="24">
        <f>'3_Unit Mix Revenue'!N27</f>
        <v/>
      </c>
    </row>
    <row r="5">
      <c r="A5" s="3" t="inlineStr">
        <is>
          <t>OPERATING EXPENSES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t="inlineStr">
        <is>
          <t>Payroll</t>
        </is>
      </c>
      <c r="B6" s="13" t="n">
        <v>0.05</v>
      </c>
      <c r="C6" s="13" t="n">
        <v>0.03</v>
      </c>
      <c r="D6" s="7">
        <f>$D$4*$B6</f>
        <v/>
      </c>
      <c r="E6" s="7">
        <f>D6*(1+$C6)</f>
        <v/>
      </c>
      <c r="F6" s="7">
        <f>E6*(1+$C6)</f>
        <v/>
      </c>
      <c r="G6" s="7">
        <f>F6*(1+$C6)</f>
        <v/>
      </c>
      <c r="H6" s="7">
        <f>G6*(1+$C6)</f>
        <v/>
      </c>
      <c r="I6" s="7">
        <f>H6*(1+$C6)</f>
        <v/>
      </c>
      <c r="J6" s="7">
        <f>I6*(1+$C6)</f>
        <v/>
      </c>
      <c r="K6" s="7">
        <f>J6*(1+$C6)</f>
        <v/>
      </c>
      <c r="L6" s="7">
        <f>K6*(1+$C6)</f>
        <v/>
      </c>
      <c r="M6" s="7">
        <f>L6*(1+$C6)</f>
        <v/>
      </c>
    </row>
    <row r="7">
      <c r="A7" t="inlineStr">
        <is>
          <t>Utilities</t>
        </is>
      </c>
      <c r="B7" s="13" t="n">
        <v>0.03</v>
      </c>
      <c r="C7" s="13" t="n">
        <v>0.025</v>
      </c>
      <c r="D7" s="7">
        <f>$D$4*$B7</f>
        <v/>
      </c>
      <c r="E7" s="7">
        <f>D7*(1+$C7)</f>
        <v/>
      </c>
      <c r="F7" s="7">
        <f>E7*(1+$C7)</f>
        <v/>
      </c>
      <c r="G7" s="7">
        <f>F7*(1+$C7)</f>
        <v/>
      </c>
      <c r="H7" s="7">
        <f>G7*(1+$C7)</f>
        <v/>
      </c>
      <c r="I7" s="7">
        <f>H7*(1+$C7)</f>
        <v/>
      </c>
      <c r="J7" s="7">
        <f>I7*(1+$C7)</f>
        <v/>
      </c>
      <c r="K7" s="7">
        <f>J7*(1+$C7)</f>
        <v/>
      </c>
      <c r="L7" s="7">
        <f>K7*(1+$C7)</f>
        <v/>
      </c>
      <c r="M7" s="7">
        <f>L7*(1+$C7)</f>
        <v/>
      </c>
    </row>
    <row r="8">
      <c r="A8" t="inlineStr">
        <is>
          <t>Repairs &amp; Maintenance</t>
        </is>
      </c>
      <c r="B8" s="13" t="n">
        <v>0.04</v>
      </c>
      <c r="C8" s="13" t="n">
        <v>0.03</v>
      </c>
      <c r="D8" s="7">
        <f>$D$4*$B8</f>
        <v/>
      </c>
      <c r="E8" s="7">
        <f>D8*(1+$C8)</f>
        <v/>
      </c>
      <c r="F8" s="7">
        <f>E8*(1+$C8)</f>
        <v/>
      </c>
      <c r="G8" s="7">
        <f>F8*(1+$C8)</f>
        <v/>
      </c>
      <c r="H8" s="7">
        <f>G8*(1+$C8)</f>
        <v/>
      </c>
      <c r="I8" s="7">
        <f>H8*(1+$C8)</f>
        <v/>
      </c>
      <c r="J8" s="7">
        <f>I8*(1+$C8)</f>
        <v/>
      </c>
      <c r="K8" s="7">
        <f>J8*(1+$C8)</f>
        <v/>
      </c>
      <c r="L8" s="7">
        <f>K8*(1+$C8)</f>
        <v/>
      </c>
      <c r="M8" s="7">
        <f>L8*(1+$C8)</f>
        <v/>
      </c>
    </row>
    <row r="9">
      <c r="A9" t="inlineStr">
        <is>
          <t>Property Taxes</t>
        </is>
      </c>
      <c r="B9" s="13" t="n">
        <v>0.06</v>
      </c>
      <c r="C9" s="13" t="n">
        <v>0.02</v>
      </c>
      <c r="D9" s="7">
        <f>$D$4*$B9</f>
        <v/>
      </c>
      <c r="E9" s="7">
        <f>D9*(1+$C9)</f>
        <v/>
      </c>
      <c r="F9" s="7">
        <f>E9*(1+$C9)</f>
        <v/>
      </c>
      <c r="G9" s="7">
        <f>F9*(1+$C9)</f>
        <v/>
      </c>
      <c r="H9" s="7">
        <f>G9*(1+$C9)</f>
        <v/>
      </c>
      <c r="I9" s="7">
        <f>H9*(1+$C9)</f>
        <v/>
      </c>
      <c r="J9" s="7">
        <f>I9*(1+$C9)</f>
        <v/>
      </c>
      <c r="K9" s="7">
        <f>J9*(1+$C9)</f>
        <v/>
      </c>
      <c r="L9" s="7">
        <f>K9*(1+$C9)</f>
        <v/>
      </c>
      <c r="M9" s="7">
        <f>L9*(1+$C9)</f>
        <v/>
      </c>
    </row>
    <row r="10">
      <c r="A10" t="inlineStr">
        <is>
          <t>Insurance</t>
        </is>
      </c>
      <c r="B10" s="13" t="n">
        <v>0.02</v>
      </c>
      <c r="C10" s="13" t="n">
        <v>0.04</v>
      </c>
      <c r="D10" s="7">
        <f>$D$4*$B10</f>
        <v/>
      </c>
      <c r="E10" s="7">
        <f>D10*(1+$C10)</f>
        <v/>
      </c>
      <c r="F10" s="7">
        <f>E10*(1+$C10)</f>
        <v/>
      </c>
      <c r="G10" s="7">
        <f>F10*(1+$C10)</f>
        <v/>
      </c>
      <c r="H10" s="7">
        <f>G10*(1+$C10)</f>
        <v/>
      </c>
      <c r="I10" s="7">
        <f>H10*(1+$C10)</f>
        <v/>
      </c>
      <c r="J10" s="7">
        <f>I10*(1+$C10)</f>
        <v/>
      </c>
      <c r="K10" s="7">
        <f>J10*(1+$C10)</f>
        <v/>
      </c>
      <c r="L10" s="7">
        <f>K10*(1+$C10)</f>
        <v/>
      </c>
      <c r="M10" s="7">
        <f>L10*(1+$C10)</f>
        <v/>
      </c>
    </row>
    <row r="11">
      <c r="A11" t="inlineStr">
        <is>
          <t>Marketing &amp; Leasing</t>
        </is>
      </c>
      <c r="B11" s="13" t="n">
        <v>0.015</v>
      </c>
      <c r="C11" s="13" t="n">
        <v>0.03</v>
      </c>
      <c r="D11" s="7">
        <f>$D$4*$B11</f>
        <v/>
      </c>
      <c r="E11" s="7">
        <f>D11*(1+$C11)</f>
        <v/>
      </c>
      <c r="F11" s="7">
        <f>E11*(1+$C11)</f>
        <v/>
      </c>
      <c r="G11" s="7">
        <f>F11*(1+$C11)</f>
        <v/>
      </c>
      <c r="H11" s="7">
        <f>G11*(1+$C11)</f>
        <v/>
      </c>
      <c r="I11" s="7">
        <f>H11*(1+$C11)</f>
        <v/>
      </c>
      <c r="J11" s="7">
        <f>I11*(1+$C11)</f>
        <v/>
      </c>
      <c r="K11" s="7">
        <f>J11*(1+$C11)</f>
        <v/>
      </c>
      <c r="L11" s="7">
        <f>K11*(1+$C11)</f>
        <v/>
      </c>
      <c r="M11" s="7">
        <f>L11*(1+$C11)</f>
        <v/>
      </c>
    </row>
    <row r="12">
      <c r="A12" t="inlineStr">
        <is>
          <t>General &amp; Administrative</t>
        </is>
      </c>
      <c r="B12" s="13" t="n">
        <v>0.02</v>
      </c>
      <c r="C12" s="13" t="n">
        <v>0.03</v>
      </c>
      <c r="D12" s="7">
        <f>$D$4*$B12</f>
        <v/>
      </c>
      <c r="E12" s="7">
        <f>D12*(1+$C12)</f>
        <v/>
      </c>
      <c r="F12" s="7">
        <f>E12*(1+$C12)</f>
        <v/>
      </c>
      <c r="G12" s="7">
        <f>F12*(1+$C12)</f>
        <v/>
      </c>
      <c r="H12" s="7">
        <f>G12*(1+$C12)</f>
        <v/>
      </c>
      <c r="I12" s="7">
        <f>H12*(1+$C12)</f>
        <v/>
      </c>
      <c r="J12" s="7">
        <f>I12*(1+$C12)</f>
        <v/>
      </c>
      <c r="K12" s="7">
        <f>J12*(1+$C12)</f>
        <v/>
      </c>
      <c r="L12" s="7">
        <f>K12*(1+$C12)</f>
        <v/>
      </c>
      <c r="M12" s="7">
        <f>L12*(1+$C12)</f>
        <v/>
      </c>
    </row>
    <row r="13">
      <c r="A13" t="inlineStr">
        <is>
          <t>Management Fee</t>
        </is>
      </c>
      <c r="B13" s="13" t="n">
        <v>0.03</v>
      </c>
      <c r="C13" s="13" t="n">
        <v>0</v>
      </c>
      <c r="D13" s="7">
        <f>$D$4*$B13</f>
        <v/>
      </c>
      <c r="E13" s="7">
        <f>$E$4*$B13</f>
        <v/>
      </c>
      <c r="F13" s="7">
        <f>$F$4*$B13</f>
        <v/>
      </c>
      <c r="G13" s="7">
        <f>$G$4*$B13</f>
        <v/>
      </c>
      <c r="H13" s="7">
        <f>$H$4*$B13</f>
        <v/>
      </c>
      <c r="I13" s="7">
        <f>$I$4*$B13</f>
        <v/>
      </c>
      <c r="J13" s="7">
        <f>$J$4*$B13</f>
        <v/>
      </c>
      <c r="K13" s="7">
        <f>$K$4*$B13</f>
        <v/>
      </c>
      <c r="L13" s="7">
        <f>$L$4*$B13</f>
        <v/>
      </c>
      <c r="M13" s="7">
        <f>$M$4*$B13</f>
        <v/>
      </c>
    </row>
    <row r="14">
      <c r="A14" t="inlineStr">
        <is>
          <t>Replacement Reserves</t>
        </is>
      </c>
      <c r="B14" s="13" t="n">
        <v>0.02</v>
      </c>
      <c r="C14" s="13" t="n">
        <v>0.03</v>
      </c>
      <c r="D14" s="7">
        <f>$D$4*$B14</f>
        <v/>
      </c>
      <c r="E14" s="7">
        <f>D14*(1+$C14)</f>
        <v/>
      </c>
      <c r="F14" s="7">
        <f>E14*(1+$C14)</f>
        <v/>
      </c>
      <c r="G14" s="7">
        <f>F14*(1+$C14)</f>
        <v/>
      </c>
      <c r="H14" s="7">
        <f>G14*(1+$C14)</f>
        <v/>
      </c>
      <c r="I14" s="7">
        <f>H14*(1+$C14)</f>
        <v/>
      </c>
      <c r="J14" s="7">
        <f>I14*(1+$C14)</f>
        <v/>
      </c>
      <c r="K14" s="7">
        <f>J14*(1+$C14)</f>
        <v/>
      </c>
      <c r="L14" s="7">
        <f>K14*(1+$C14)</f>
        <v/>
      </c>
      <c r="M14" s="7">
        <f>L14*(1+$C14)</f>
        <v/>
      </c>
    </row>
    <row r="15">
      <c r="A15" s="17" t="inlineStr">
        <is>
          <t>TOTAL OPERATING EXPENSES</t>
        </is>
      </c>
      <c r="B15" s="17" t="n"/>
      <c r="C15" s="17" t="n"/>
      <c r="D15" s="18">
        <f>SUM(D6:D14)</f>
        <v/>
      </c>
      <c r="E15" s="18">
        <f>SUM(E6:E14)</f>
        <v/>
      </c>
      <c r="F15" s="18">
        <f>SUM(F6:F14)</f>
        <v/>
      </c>
      <c r="G15" s="18">
        <f>SUM(G6:G14)</f>
        <v/>
      </c>
      <c r="H15" s="18">
        <f>SUM(H6:H14)</f>
        <v/>
      </c>
      <c r="I15" s="18">
        <f>SUM(I6:I14)</f>
        <v/>
      </c>
      <c r="J15" s="18">
        <f>SUM(J6:J14)</f>
        <v/>
      </c>
      <c r="K15" s="18">
        <f>SUM(K6:K14)</f>
        <v/>
      </c>
      <c r="L15" s="18">
        <f>SUM(L6:L14)</f>
        <v/>
      </c>
      <c r="M15" s="18">
        <f>SUM(M6:M14)</f>
        <v/>
      </c>
    </row>
    <row r="16">
      <c r="A16" s="6" t="inlineStr">
        <is>
          <t>Operating Expense Ratio</t>
        </is>
      </c>
      <c r="D16" s="16">
        <f>D15/D4</f>
        <v/>
      </c>
      <c r="E16" s="16">
        <f>E15/E4</f>
        <v/>
      </c>
      <c r="F16" s="16">
        <f>F15/F4</f>
        <v/>
      </c>
      <c r="G16" s="16">
        <f>G15/G4</f>
        <v/>
      </c>
      <c r="H16" s="16">
        <f>H15/H4</f>
        <v/>
      </c>
      <c r="I16" s="16">
        <f>I15/I4</f>
        <v/>
      </c>
      <c r="J16" s="16">
        <f>J15/J4</f>
        <v/>
      </c>
      <c r="K16" s="16">
        <f>K15/K4</f>
        <v/>
      </c>
      <c r="L16" s="16">
        <f>L15/L4</f>
        <v/>
      </c>
      <c r="M16" s="16">
        <f>M15/M4</f>
        <v/>
      </c>
    </row>
    <row r="18">
      <c r="A18" s="17" t="inlineStr">
        <is>
          <t>NET OPERATING INCOME (NOI)</t>
        </is>
      </c>
      <c r="B18" s="17" t="n"/>
      <c r="C18" s="17" t="n"/>
      <c r="D18" s="18">
        <f>D4-D15</f>
        <v/>
      </c>
      <c r="E18" s="18">
        <f>E4-E15</f>
        <v/>
      </c>
      <c r="F18" s="18">
        <f>F4-F15</f>
        <v/>
      </c>
      <c r="G18" s="18">
        <f>G4-G15</f>
        <v/>
      </c>
      <c r="H18" s="18">
        <f>H4-H15</f>
        <v/>
      </c>
      <c r="I18" s="18">
        <f>I4-I15</f>
        <v/>
      </c>
      <c r="J18" s="18">
        <f>J4-J15</f>
        <v/>
      </c>
      <c r="K18" s="18">
        <f>K4-K15</f>
        <v/>
      </c>
      <c r="L18" s="18">
        <f>L4-L15</f>
        <v/>
      </c>
      <c r="M18" s="18">
        <f>M4-M15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</cols>
  <sheetData>
    <row r="1">
      <c r="A1" s="14" t="inlineStr">
        <is>
          <t>DEBT SCHEDULE</t>
        </is>
      </c>
    </row>
    <row r="3">
      <c r="A3" s="3" t="inlineStr">
        <is>
          <t>LOAN INPUTS</t>
        </is>
      </c>
      <c r="B3" s="3" t="n"/>
      <c r="C3" s="3" t="n"/>
      <c r="D3" s="3" t="n"/>
    </row>
    <row r="4">
      <c r="A4" s="6" t="inlineStr">
        <is>
          <t>Loan-to-Value (LTV)</t>
        </is>
      </c>
      <c r="C4" s="13" t="n">
        <v>0.75</v>
      </c>
    </row>
    <row r="5">
      <c r="A5" s="6" t="inlineStr">
        <is>
          <t>Loan Amount</t>
        </is>
      </c>
      <c r="C5" s="7">
        <f>'2_Development Budget'!C32*C4</f>
        <v/>
      </c>
    </row>
    <row r="6">
      <c r="A6" s="6" t="inlineStr">
        <is>
          <t>Interest Rate</t>
        </is>
      </c>
      <c r="C6" s="25" t="n">
        <v>0.065</v>
      </c>
    </row>
    <row r="7">
      <c r="A7" s="17" t="inlineStr">
        <is>
          <t>Equity Required</t>
        </is>
      </c>
      <c r="B7" s="17" t="n"/>
      <c r="C7" s="18">
        <f>'2_Development Budget'!C31-C5</f>
        <v/>
      </c>
      <c r="D7" s="17" t="n"/>
    </row>
    <row r="8">
      <c r="A8" s="6" t="inlineStr">
        <is>
          <t>Amortization (Years)</t>
        </is>
      </c>
      <c r="C8" s="8" t="n">
        <v>30</v>
      </c>
    </row>
    <row r="9">
      <c r="A9" s="6" t="inlineStr">
        <is>
          <t>Loan Term (Years)</t>
        </is>
      </c>
      <c r="C9" s="8" t="n">
        <v>10</v>
      </c>
    </row>
    <row r="10">
      <c r="A10" s="17" t="inlineStr">
        <is>
          <t>Annual Debt Service</t>
        </is>
      </c>
      <c r="B10" s="17" t="n"/>
      <c r="C10" s="18">
        <f>PMT(C6/12,C8*12,-C5)*12</f>
        <v/>
      </c>
      <c r="D10" s="17" t="n"/>
    </row>
    <row r="12">
      <c r="A12" s="3" t="inlineStr">
        <is>
          <t>AMORTIZATION SCHEDULE</t>
        </is>
      </c>
      <c r="B12" s="3" t="n"/>
      <c r="C12" s="3" t="n"/>
      <c r="D12" s="3" t="n"/>
      <c r="E12" s="3" t="n"/>
      <c r="F12" s="3" t="n"/>
      <c r="G12" s="3" t="n"/>
    </row>
    <row r="13">
      <c r="A13" s="15" t="inlineStr">
        <is>
          <t>Year</t>
        </is>
      </c>
      <c r="B13" s="15" t="inlineStr">
        <is>
          <t>Beginning Balance</t>
        </is>
      </c>
      <c r="C13" s="15" t="inlineStr">
        <is>
          <t>Annual Payment</t>
        </is>
      </c>
      <c r="D13" s="15" t="inlineStr">
        <is>
          <t>Interest</t>
        </is>
      </c>
      <c r="E13" s="15" t="inlineStr">
        <is>
          <t>Principal</t>
        </is>
      </c>
      <c r="F13" s="15" t="inlineStr">
        <is>
          <t>Ending Balance</t>
        </is>
      </c>
      <c r="G13" s="15" t="inlineStr">
        <is>
          <t>DCR</t>
        </is>
      </c>
    </row>
    <row r="14">
      <c r="A14" t="n">
        <v>1</v>
      </c>
      <c r="B14" s="7">
        <f>$C$5</f>
        <v/>
      </c>
      <c r="C14" s="7">
        <f>$C$10</f>
        <v/>
      </c>
      <c r="D14" s="7">
        <f>B14*$C$6</f>
        <v/>
      </c>
      <c r="E14" s="7">
        <f>C14-D14</f>
        <v/>
      </c>
      <c r="F14" s="7">
        <f>B14-E14</f>
        <v/>
      </c>
      <c r="G14" s="26">
        <f>'4_Operating Expenses'!D18/$C$10</f>
        <v/>
      </c>
    </row>
    <row r="15">
      <c r="A15" t="n">
        <v>2</v>
      </c>
      <c r="B15" s="7">
        <f>F14</f>
        <v/>
      </c>
      <c r="C15" s="7">
        <f>$C$10</f>
        <v/>
      </c>
      <c r="D15" s="7">
        <f>B15*$C$6</f>
        <v/>
      </c>
      <c r="E15" s="7">
        <f>C15-D15</f>
        <v/>
      </c>
      <c r="F15" s="7">
        <f>B15-E15</f>
        <v/>
      </c>
      <c r="G15" s="26">
        <f>'4_Operating Expenses'!E18/$C$10</f>
        <v/>
      </c>
    </row>
    <row r="16">
      <c r="A16" t="n">
        <v>3</v>
      </c>
      <c r="B16" s="7">
        <f>F15</f>
        <v/>
      </c>
      <c r="C16" s="7">
        <f>$C$10</f>
        <v/>
      </c>
      <c r="D16" s="7">
        <f>B16*$C$6</f>
        <v/>
      </c>
      <c r="E16" s="7">
        <f>C16-D16</f>
        <v/>
      </c>
      <c r="F16" s="7">
        <f>B16-E16</f>
        <v/>
      </c>
      <c r="G16" s="26">
        <f>'4_Operating Expenses'!F18/$C$10</f>
        <v/>
      </c>
    </row>
    <row r="17">
      <c r="A17" t="n">
        <v>4</v>
      </c>
      <c r="B17" s="7">
        <f>F16</f>
        <v/>
      </c>
      <c r="C17" s="7">
        <f>$C$10</f>
        <v/>
      </c>
      <c r="D17" s="7">
        <f>B17*$C$6</f>
        <v/>
      </c>
      <c r="E17" s="7">
        <f>C17-D17</f>
        <v/>
      </c>
      <c r="F17" s="7">
        <f>B17-E17</f>
        <v/>
      </c>
      <c r="G17" s="26">
        <f>'4_Operating Expenses'!G18/$C$10</f>
        <v/>
      </c>
    </row>
    <row r="18">
      <c r="A18" t="n">
        <v>5</v>
      </c>
      <c r="B18" s="7">
        <f>F17</f>
        <v/>
      </c>
      <c r="C18" s="7">
        <f>$C$10</f>
        <v/>
      </c>
      <c r="D18" s="7">
        <f>B18*$C$6</f>
        <v/>
      </c>
      <c r="E18" s="7">
        <f>C18-D18</f>
        <v/>
      </c>
      <c r="F18" s="7">
        <f>B18-E18</f>
        <v/>
      </c>
      <c r="G18" s="26">
        <f>'4_Operating Expenses'!H18/$C$10</f>
        <v/>
      </c>
    </row>
    <row r="19">
      <c r="A19" t="n">
        <v>6</v>
      </c>
      <c r="B19" s="7">
        <f>F18</f>
        <v/>
      </c>
      <c r="C19" s="7">
        <f>$C$10</f>
        <v/>
      </c>
      <c r="D19" s="7">
        <f>B19*$C$6</f>
        <v/>
      </c>
      <c r="E19" s="7">
        <f>C19-D19</f>
        <v/>
      </c>
      <c r="F19" s="7">
        <f>B19-E19</f>
        <v/>
      </c>
      <c r="G19" s="26">
        <f>'4_Operating Expenses'!I18/$C$10</f>
        <v/>
      </c>
    </row>
    <row r="20">
      <c r="A20" t="n">
        <v>7</v>
      </c>
      <c r="B20" s="7">
        <f>F19</f>
        <v/>
      </c>
      <c r="C20" s="7">
        <f>$C$10</f>
        <v/>
      </c>
      <c r="D20" s="7">
        <f>B20*$C$6</f>
        <v/>
      </c>
      <c r="E20" s="7">
        <f>C20-D20</f>
        <v/>
      </c>
      <c r="F20" s="7">
        <f>B20-E20</f>
        <v/>
      </c>
      <c r="G20" s="26">
        <f>'4_Operating Expenses'!J18/$C$10</f>
        <v/>
      </c>
    </row>
    <row r="21">
      <c r="A21" t="n">
        <v>8</v>
      </c>
      <c r="B21" s="7">
        <f>F20</f>
        <v/>
      </c>
      <c r="C21" s="7">
        <f>$C$10</f>
        <v/>
      </c>
      <c r="D21" s="7">
        <f>B21*$C$6</f>
        <v/>
      </c>
      <c r="E21" s="7">
        <f>C21-D21</f>
        <v/>
      </c>
      <c r="F21" s="7">
        <f>B21-E21</f>
        <v/>
      </c>
      <c r="G21" s="26">
        <f>'4_Operating Expenses'!K18/$C$10</f>
        <v/>
      </c>
    </row>
    <row r="22">
      <c r="A22" t="n">
        <v>9</v>
      </c>
      <c r="B22" s="7">
        <f>F21</f>
        <v/>
      </c>
      <c r="C22" s="7">
        <f>$C$10</f>
        <v/>
      </c>
      <c r="D22" s="7">
        <f>B22*$C$6</f>
        <v/>
      </c>
      <c r="E22" s="7">
        <f>C22-D22</f>
        <v/>
      </c>
      <c r="F22" s="7">
        <f>B22-E22</f>
        <v/>
      </c>
      <c r="G22" s="26">
        <f>'4_Operating Expenses'!L18/$C$10</f>
        <v/>
      </c>
    </row>
    <row r="23">
      <c r="A23" t="n">
        <v>10</v>
      </c>
      <c r="B23" s="7">
        <f>F22</f>
        <v/>
      </c>
      <c r="C23" s="7">
        <f>$C$10</f>
        <v/>
      </c>
      <c r="D23" s="7">
        <f>B23*$C$6</f>
        <v/>
      </c>
      <c r="E23" s="7">
        <f>C23-D23</f>
        <v/>
      </c>
      <c r="F23" s="7">
        <f>B23-E23</f>
        <v/>
      </c>
      <c r="G23" s="26">
        <f>'4_Operating Expenses'!M18/$C$10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4" t="inlineStr">
        <is>
          <t>CASH FLOW ANALYSIS</t>
        </is>
      </c>
    </row>
    <row r="3">
      <c r="A3" s="15" t="inlineStr">
        <is>
          <t>Cash Flow Item</t>
        </is>
      </c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  <c r="G3" s="15" t="inlineStr">
        <is>
          <t>Year 6</t>
        </is>
      </c>
      <c r="H3" s="15" t="inlineStr">
        <is>
          <t>Year 7</t>
        </is>
      </c>
      <c r="I3" s="15" t="inlineStr">
        <is>
          <t>Year 8</t>
        </is>
      </c>
      <c r="J3" s="15" t="inlineStr">
        <is>
          <t>Year 9</t>
        </is>
      </c>
      <c r="K3" s="15" t="inlineStr">
        <is>
          <t>Year 10</t>
        </is>
      </c>
      <c r="L3" s="15" t="inlineStr">
        <is>
          <t>Total</t>
        </is>
      </c>
    </row>
    <row r="4">
      <c r="A4" s="3" t="inlineStr">
        <is>
          <t>OPERATING CASH FLOWS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t="inlineStr">
        <is>
          <t>Net Operating Income</t>
        </is>
      </c>
      <c r="B5" s="7">
        <f>'4_Operating Expenses'!D18</f>
        <v/>
      </c>
      <c r="C5" s="7">
        <f>'4_Operating Expenses'!E18</f>
        <v/>
      </c>
      <c r="D5" s="7">
        <f>'4_Operating Expenses'!F18</f>
        <v/>
      </c>
      <c r="E5" s="7">
        <f>'4_Operating Expenses'!G18</f>
        <v/>
      </c>
      <c r="F5" s="7">
        <f>'4_Operating Expenses'!H18</f>
        <v/>
      </c>
      <c r="G5" s="7">
        <f>'4_Operating Expenses'!I18</f>
        <v/>
      </c>
      <c r="H5" s="7">
        <f>'4_Operating Expenses'!J18</f>
        <v/>
      </c>
      <c r="I5" s="7">
        <f>'4_Operating Expenses'!K18</f>
        <v/>
      </c>
      <c r="J5" s="7">
        <f>'4_Operating Expenses'!L18</f>
        <v/>
      </c>
      <c r="K5" s="7">
        <f>'4_Operating Expenses'!M18</f>
        <v/>
      </c>
      <c r="L5" s="7">
        <f>SUM(B5:K5)</f>
        <v/>
      </c>
    </row>
    <row r="6">
      <c r="A6" t="inlineStr">
        <is>
          <t>Less: Debt Service</t>
        </is>
      </c>
      <c r="B6" s="22">
        <f>-'5_Debt Schedule'!$C$10</f>
        <v/>
      </c>
      <c r="C6" s="22">
        <f>-'5_Debt Schedule'!$C$10</f>
        <v/>
      </c>
      <c r="D6" s="22">
        <f>-'5_Debt Schedule'!$C$10</f>
        <v/>
      </c>
      <c r="E6" s="22">
        <f>-'5_Debt Schedule'!$C$10</f>
        <v/>
      </c>
      <c r="F6" s="22">
        <f>-'5_Debt Schedule'!$C$10</f>
        <v/>
      </c>
      <c r="G6" s="22">
        <f>-'5_Debt Schedule'!$C$10</f>
        <v/>
      </c>
      <c r="H6" s="22">
        <f>-'5_Debt Schedule'!$C$10</f>
        <v/>
      </c>
      <c r="I6" s="22">
        <f>-'5_Debt Schedule'!$C$10</f>
        <v/>
      </c>
      <c r="J6" s="22">
        <f>-'5_Debt Schedule'!$C$10</f>
        <v/>
      </c>
      <c r="K6" s="22">
        <f>-'5_Debt Schedule'!$C$10</f>
        <v/>
      </c>
      <c r="L6" s="22">
        <f>SUM(B6:K6)</f>
        <v/>
      </c>
    </row>
    <row r="7">
      <c r="A7" s="17" t="inlineStr">
        <is>
          <t>Free Cash Flow (Pre-Refi)</t>
        </is>
      </c>
      <c r="B7" s="18">
        <f>B5+B6</f>
        <v/>
      </c>
      <c r="C7" s="18">
        <f>C5+C6</f>
        <v/>
      </c>
      <c r="D7" s="18">
        <f>D5+D6</f>
        <v/>
      </c>
      <c r="E7" s="18">
        <f>E5+E6</f>
        <v/>
      </c>
      <c r="F7" s="18">
        <f>F5+F6</f>
        <v/>
      </c>
      <c r="G7" s="18">
        <f>G5+G6</f>
        <v/>
      </c>
      <c r="H7" s="18">
        <f>H5+H6</f>
        <v/>
      </c>
      <c r="I7" s="18">
        <f>I5+I6</f>
        <v/>
      </c>
      <c r="J7" s="18">
        <f>J5+J6</f>
        <v/>
      </c>
      <c r="K7" s="18">
        <f>K5+K6</f>
        <v/>
      </c>
      <c r="L7" s="18">
        <f>L5+L6</f>
        <v/>
      </c>
    </row>
    <row r="9">
      <c r="A9" s="3" t="inlineStr">
        <is>
          <t>REFINANCING (Year 4)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t="inlineStr">
        <is>
          <t>Refi LTV %</t>
        </is>
      </c>
      <c r="B10" s="13" t="n">
        <v>0.75</v>
      </c>
    </row>
    <row r="11">
      <c r="A11" t="inlineStr">
        <is>
          <t>Refi Cap Rate</t>
        </is>
      </c>
      <c r="B11" s="25" t="n">
        <v>0.055</v>
      </c>
    </row>
    <row r="12">
      <c r="A12" t="inlineStr">
        <is>
          <t>Stabilized Value at Refi</t>
        </is>
      </c>
      <c r="E12" s="7">
        <f>E5/$B$11</f>
        <v/>
      </c>
    </row>
    <row r="13">
      <c r="A13" t="inlineStr">
        <is>
          <t>New Loan Amount (75% LTV)</t>
        </is>
      </c>
      <c r="E13" s="7">
        <f>E12*$B$10</f>
        <v/>
      </c>
    </row>
    <row r="14">
      <c r="A14" t="inlineStr">
        <is>
          <t>Less: Existing Loan Balance</t>
        </is>
      </c>
      <c r="E14" s="22">
        <f>-'5_Debt Schedule'!F17</f>
        <v/>
      </c>
    </row>
    <row r="15">
      <c r="A15" s="17" t="inlineStr">
        <is>
          <t>Refinancing Proceeds</t>
        </is>
      </c>
      <c r="B15" s="17" t="n"/>
      <c r="C15" s="17" t="n"/>
      <c r="D15" s="17" t="n"/>
      <c r="E15" s="18">
        <f>E13+E14</f>
        <v/>
      </c>
      <c r="F15" s="17" t="n"/>
      <c r="G15" s="17" t="n"/>
      <c r="H15" s="17" t="n"/>
      <c r="I15" s="17" t="n"/>
      <c r="J15" s="17" t="n"/>
      <c r="K15" s="17" t="n"/>
      <c r="L15" s="18">
        <f>E15</f>
        <v/>
      </c>
    </row>
    <row r="17">
      <c r="A17" s="3" t="inlineStr">
        <is>
          <t>INVESTOR CASH FLOWS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t="inlineStr">
        <is>
          <t>Initial Equity (for reference)</t>
        </is>
      </c>
      <c r="B18" s="7">
        <f>'5_Debt Schedule'!C7</f>
        <v/>
      </c>
    </row>
    <row r="19">
      <c r="A19" t="inlineStr">
        <is>
          <t>Less: Asset Mgmt Fee (3%)</t>
        </is>
      </c>
      <c r="B19" s="22">
        <f>-B7*0.03</f>
        <v/>
      </c>
      <c r="C19" s="22">
        <f>-C7*0.03</f>
        <v/>
      </c>
      <c r="D19" s="22">
        <f>-D7*0.03</f>
        <v/>
      </c>
      <c r="E19" s="22">
        <f>-E7*0.03</f>
        <v/>
      </c>
      <c r="F19" s="22">
        <f>-F7*0.03</f>
        <v/>
      </c>
      <c r="G19" s="22">
        <f>-G7*0.03</f>
        <v/>
      </c>
      <c r="H19" s="22">
        <f>-H7*0.03</f>
        <v/>
      </c>
      <c r="I19" s="22">
        <f>-I7*0.03</f>
        <v/>
      </c>
      <c r="J19" s="22">
        <f>-J7*0.03</f>
        <v/>
      </c>
      <c r="K19" s="22">
        <f>-K7*0.03</f>
        <v/>
      </c>
      <c r="L19" s="22">
        <f>SUM(B19:K19)</f>
        <v/>
      </c>
    </row>
    <row r="20">
      <c r="A20" s="17" t="inlineStr">
        <is>
          <t>Net Cash Flow to Investors</t>
        </is>
      </c>
      <c r="B20" s="18">
        <f>B7+B19</f>
        <v/>
      </c>
      <c r="C20" s="18">
        <f>C7+C19</f>
        <v/>
      </c>
      <c r="D20" s="18">
        <f>D7+D19</f>
        <v/>
      </c>
      <c r="E20" s="18">
        <f>E7+E15+E19</f>
        <v/>
      </c>
      <c r="F20" s="18">
        <f>F7+F19</f>
        <v/>
      </c>
      <c r="G20" s="18">
        <f>G7+G19</f>
        <v/>
      </c>
      <c r="H20" s="18">
        <f>H7+H19</f>
        <v/>
      </c>
      <c r="I20" s="18">
        <f>I7+I19</f>
        <v/>
      </c>
      <c r="J20" s="18">
        <f>J7+J19</f>
        <v/>
      </c>
      <c r="K20" s="18">
        <f>K7+K19</f>
        <v/>
      </c>
      <c r="L20" s="18">
        <f>SUM(B20:K20)</f>
        <v/>
      </c>
    </row>
    <row r="22">
      <c r="A22" s="3" t="inlineStr">
        <is>
          <t>RETURNS METRICS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4">
      <c r="A24" t="inlineStr">
        <is>
          <t>Cash-on-Cash Return</t>
        </is>
      </c>
      <c r="B24" s="9">
        <f>B20/$B$18</f>
        <v/>
      </c>
      <c r="C24" s="9">
        <f>C20/$B$18</f>
        <v/>
      </c>
      <c r="D24" s="9">
        <f>D20/$B$18</f>
        <v/>
      </c>
      <c r="E24" s="9">
        <f>E20/$B$18</f>
        <v/>
      </c>
      <c r="F24" s="9">
        <f>F20/$B$18</f>
        <v/>
      </c>
      <c r="G24" s="9">
        <f>G20/$B$18</f>
        <v/>
      </c>
      <c r="H24" s="9">
        <f>H20/$B$18</f>
        <v/>
      </c>
      <c r="I24" s="9">
        <f>I20/$B$18</f>
        <v/>
      </c>
      <c r="J24" s="9">
        <f>J20/$B$18</f>
        <v/>
      </c>
      <c r="K24" s="9">
        <f>K20/$B$18</f>
        <v/>
      </c>
    </row>
    <row r="25">
      <c r="A25" t="inlineStr">
        <is>
          <t>Cumulative Cash Returned</t>
        </is>
      </c>
      <c r="B25" s="7">
        <f>B20</f>
        <v/>
      </c>
      <c r="C25" s="7">
        <f>B25+C20</f>
        <v/>
      </c>
      <c r="D25" s="7">
        <f>C25+D20</f>
        <v/>
      </c>
      <c r="E25" s="7">
        <f>D25+E20</f>
        <v/>
      </c>
      <c r="F25" s="7">
        <f>E25+F20</f>
        <v/>
      </c>
      <c r="G25" s="7">
        <f>F25+G20</f>
        <v/>
      </c>
      <c r="H25" s="7">
        <f>G25+H20</f>
        <v/>
      </c>
      <c r="I25" s="7">
        <f>H25+I20</f>
        <v/>
      </c>
      <c r="J25" s="7">
        <f>I25+J20</f>
        <v/>
      </c>
      <c r="K25" s="7">
        <f>J25+K20</f>
        <v/>
      </c>
    </row>
    <row r="26">
      <c r="A26" t="inlineStr">
        <is>
          <t>% of Equity Returned</t>
        </is>
      </c>
      <c r="B26" s="16">
        <f>B25/$B$18</f>
        <v/>
      </c>
      <c r="C26" s="16">
        <f>C25/$B$18</f>
        <v/>
      </c>
      <c r="D26" s="16">
        <f>D25/$B$18</f>
        <v/>
      </c>
      <c r="E26" s="16">
        <f>E25/$B$18</f>
        <v/>
      </c>
      <c r="F26" s="16">
        <f>F25/$B$18</f>
        <v/>
      </c>
      <c r="G26" s="16">
        <f>G25/$B$18</f>
        <v/>
      </c>
      <c r="H26" s="16">
        <f>H25/$B$18</f>
        <v/>
      </c>
      <c r="I26" s="16">
        <f>I25/$B$18</f>
        <v/>
      </c>
      <c r="J26" s="16">
        <f>J25/$B$18</f>
        <v/>
      </c>
      <c r="K26" s="16">
        <f>K25/$B$18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8" customWidth="1" min="3" max="3"/>
    <col width="15" customWidth="1" min="4" max="4"/>
  </cols>
  <sheetData>
    <row r="1">
      <c r="A1" s="14" t="inlineStr">
        <is>
          <t>RETURNS &amp; EXIT ANALYSIS</t>
        </is>
      </c>
    </row>
    <row r="3">
      <c r="A3" s="3" t="inlineStr">
        <is>
          <t>EXIT ASSUMPTIONS (YEAR 10)</t>
        </is>
      </c>
      <c r="B3" s="3" t="n"/>
      <c r="C3" s="3" t="n"/>
      <c r="D3" s="3" t="n"/>
    </row>
    <row r="4">
      <c r="A4" s="6" t="inlineStr">
        <is>
          <t>Exit Cap Rate</t>
        </is>
      </c>
      <c r="C4" s="25" t="n">
        <v>0.055</v>
      </c>
    </row>
    <row r="5">
      <c r="A5" s="6" t="inlineStr">
        <is>
          <t>Selling Costs</t>
        </is>
      </c>
      <c r="C5" s="13" t="n">
        <v>0.02</v>
      </c>
    </row>
    <row r="7">
      <c r="A7" s="3" t="inlineStr">
        <is>
          <t>EXIT CALCULATIONS</t>
        </is>
      </c>
      <c r="B7" s="3" t="n"/>
      <c r="C7" s="3" t="n"/>
      <c r="D7" s="3" t="n"/>
    </row>
    <row r="8">
      <c r="A8" s="6" t="inlineStr">
        <is>
          <t>Projected NOI (Year 10)</t>
        </is>
      </c>
      <c r="C8" s="7">
        <f>'4_Operating Expenses'!M18</f>
        <v/>
      </c>
    </row>
    <row r="9">
      <c r="A9" s="6" t="inlineStr">
        <is>
          <t>Gross Sale Price (NOI / Cap)</t>
        </is>
      </c>
      <c r="C9" s="7">
        <f>C8/C4</f>
        <v/>
      </c>
    </row>
    <row r="10">
      <c r="A10" t="inlineStr">
        <is>
          <t>Less: Selling Costs</t>
        </is>
      </c>
      <c r="C10" s="22">
        <f>-C9*C5</f>
        <v/>
      </c>
    </row>
    <row r="11">
      <c r="A11" s="6" t="inlineStr">
        <is>
          <t>Net Sale Proceeds</t>
        </is>
      </c>
      <c r="C11" s="7">
        <f>C9+C10</f>
        <v/>
      </c>
    </row>
    <row r="12">
      <c r="A12" t="inlineStr">
        <is>
          <t>Less: Remaining Loan Balance</t>
        </is>
      </c>
      <c r="C12" s="22">
        <f>-'5_Debt Schedule'!F23</f>
        <v/>
      </c>
    </row>
    <row r="13">
      <c r="A13" s="17" t="inlineStr">
        <is>
          <t>Equity Proceeds at Sale</t>
        </is>
      </c>
      <c r="B13" s="17" t="n"/>
      <c r="C13" s="18">
        <f>C11+C12</f>
        <v/>
      </c>
      <c r="D13" s="17" t="n"/>
    </row>
    <row r="15">
      <c r="A15" s="3" t="inlineStr">
        <is>
          <t>TOTAL RETURN CALCULATION</t>
        </is>
      </c>
      <c r="B15" s="3" t="n"/>
      <c r="C15" s="3" t="n"/>
      <c r="D15" s="3" t="n"/>
    </row>
    <row r="16">
      <c r="A16" s="6" t="inlineStr">
        <is>
          <t>Initial Equity Investment</t>
        </is>
      </c>
      <c r="C16" s="7">
        <f>'5_Debt Schedule'!C7</f>
        <v/>
      </c>
    </row>
    <row r="17">
      <c r="A17" t="inlineStr">
        <is>
          <t>Total Operating Cash Flow</t>
        </is>
      </c>
      <c r="C17" s="7">
        <f>'6_Cash Flow Analysis'!L7</f>
        <v/>
      </c>
    </row>
    <row r="18">
      <c r="A18" t="inlineStr">
        <is>
          <t>Less: Asset Management Fees</t>
        </is>
      </c>
      <c r="C18" s="22">
        <f>'6_Cash Flow Analysis'!L19</f>
        <v/>
      </c>
    </row>
    <row r="19">
      <c r="A19" t="inlineStr">
        <is>
          <t>Refinancing Proceeds</t>
        </is>
      </c>
      <c r="C19" s="7">
        <f>'6_Cash Flow Analysis'!L15</f>
        <v/>
      </c>
    </row>
    <row r="20">
      <c r="A20" s="6" t="inlineStr">
        <is>
          <t>Net Operating Distributions</t>
        </is>
      </c>
      <c r="C20" s="7">
        <f>C17+C18+C19</f>
        <v/>
      </c>
    </row>
    <row r="21">
      <c r="A21" t="inlineStr">
        <is>
          <t>Plus: Equity Proceeds at Exit</t>
        </is>
      </c>
      <c r="C21" s="7">
        <f>C13</f>
        <v/>
      </c>
    </row>
    <row r="23">
      <c r="A23" s="3" t="inlineStr">
        <is>
          <t>TOTAL RETURNS</t>
        </is>
      </c>
      <c r="B23" s="3" t="n"/>
      <c r="C23" s="3" t="n"/>
      <c r="D23" s="3" t="n"/>
    </row>
    <row r="24">
      <c r="A24" s="6" t="inlineStr">
        <is>
          <t>Gross Proceeds</t>
        </is>
      </c>
      <c r="C24" s="7">
        <f>C20+C21</f>
        <v/>
      </c>
    </row>
    <row r="25">
      <c r="A25" t="inlineStr">
        <is>
          <t>Less: Initial Investment</t>
        </is>
      </c>
      <c r="C25" s="22">
        <f>-C16</f>
        <v/>
      </c>
    </row>
    <row r="27">
      <c r="A27" s="17" t="inlineStr">
        <is>
          <t>Total Return ($)</t>
        </is>
      </c>
      <c r="B27" s="17" t="n"/>
      <c r="C27" s="18">
        <f>C24-C16</f>
        <v/>
      </c>
      <c r="D27" s="17" t="n"/>
    </row>
    <row r="28">
      <c r="A28" s="17" t="inlineStr">
        <is>
          <t>Total Return (%)</t>
        </is>
      </c>
      <c r="B28" s="17" t="n"/>
      <c r="C28" s="19">
        <f>C27/C16</f>
        <v/>
      </c>
      <c r="D28" s="17" t="n"/>
    </row>
    <row r="29">
      <c r="A29" s="17" t="inlineStr">
        <is>
          <t>Equity Multiple</t>
        </is>
      </c>
      <c r="B29" s="17" t="n"/>
      <c r="C29" s="27">
        <f>C24/C16</f>
        <v/>
      </c>
      <c r="D29" s="17" t="n"/>
    </row>
    <row r="30">
      <c r="A30" s="17" t="inlineStr">
        <is>
          <t>Approx. Annualized IRR</t>
        </is>
      </c>
      <c r="B30" s="17" t="n"/>
      <c r="C30" s="28">
        <f>(C29^(1/10))-1</f>
        <v/>
      </c>
      <c r="D30" s="17" t="n"/>
    </row>
    <row r="32">
      <c r="A32" s="3" t="inlineStr">
        <is>
          <t>OZ TAX BENEFIT ANALYSIS</t>
        </is>
      </c>
      <c r="B32" s="3" t="n"/>
      <c r="C32" s="3" t="n"/>
      <c r="D32" s="3" t="n"/>
    </row>
    <row r="33">
      <c r="A33" t="inlineStr">
        <is>
          <t>Capital Gain Invested</t>
        </is>
      </c>
      <c r="C33" s="7">
        <f>'1_Summary Dashboard'!B23</f>
        <v/>
      </c>
    </row>
    <row r="34">
      <c r="A34" t="inlineStr">
        <is>
          <t>Combined Tax Rate</t>
        </is>
      </c>
      <c r="C34" s="16">
        <f>'1_Summary Dashboard'!B24+'1_Summary Dashboard'!B25</f>
        <v/>
      </c>
    </row>
    <row r="35">
      <c r="A35" t="inlineStr">
        <is>
          <t>Tax on Original Gain (if paid)</t>
        </is>
      </c>
      <c r="C35" s="7">
        <f>C33*C34</f>
        <v/>
      </c>
    </row>
    <row r="37">
      <c r="A37" s="29" t="inlineStr">
        <is>
          <t>TRADITIONAL INVESTMENT PATH:</t>
        </is>
      </c>
    </row>
    <row r="38">
      <c r="A38" t="inlineStr">
        <is>
          <t>Amount Invested (after tax)</t>
        </is>
      </c>
      <c r="C38" s="7">
        <f>C33-C35</f>
        <v/>
      </c>
    </row>
    <row r="39">
      <c r="A39" t="inlineStr">
        <is>
          <t>Return at Same Multiple</t>
        </is>
      </c>
      <c r="C39" s="7">
        <f>C38*C29</f>
        <v/>
      </c>
    </row>
    <row r="40">
      <c r="A40" t="inlineStr">
        <is>
          <t>Less: Capital Gains Tax (23.8%)</t>
        </is>
      </c>
      <c r="C40" s="22">
        <f>-(C39-C38)*0.238</f>
        <v/>
      </c>
    </row>
    <row r="41">
      <c r="A41" s="6" t="inlineStr">
        <is>
          <t>Net After-Tax (Traditional)</t>
        </is>
      </c>
      <c r="C41" s="7">
        <f>C39+C40</f>
        <v/>
      </c>
    </row>
    <row r="43">
      <c r="A43" s="29" t="inlineStr">
        <is>
          <t>OZ FUND PATH:</t>
        </is>
      </c>
    </row>
    <row r="44">
      <c r="A44" t="inlineStr">
        <is>
          <t>Amount Invested (full gain)</t>
        </is>
      </c>
      <c r="C44" s="7">
        <f>C33</f>
        <v/>
      </c>
    </row>
    <row r="45">
      <c r="A45" t="inlineStr">
        <is>
          <t>Return at Same Multiple</t>
        </is>
      </c>
      <c r="C45" s="7">
        <f>C44*C29</f>
        <v/>
      </c>
    </row>
    <row r="46">
      <c r="A46" t="inlineStr">
        <is>
          <t>Less: Deferred Tax Due (2026)</t>
        </is>
      </c>
      <c r="C46" s="22">
        <f>-C35</f>
        <v/>
      </c>
    </row>
    <row r="47">
      <c r="A47" t="inlineStr">
        <is>
          <t>Tax on Appreciation (10yr hold)</t>
        </is>
      </c>
      <c r="C47" s="7" t="n">
        <v>0</v>
      </c>
    </row>
    <row r="48">
      <c r="A48" s="6" t="inlineStr">
        <is>
          <t>Net After-Tax (OZ Fund)</t>
        </is>
      </c>
      <c r="C48" s="7">
        <f>C45+C46+C47</f>
        <v/>
      </c>
    </row>
    <row r="50">
      <c r="A50" s="17" t="inlineStr">
        <is>
          <t>OZ TAX SAVINGS</t>
        </is>
      </c>
      <c r="B50" s="17" t="n"/>
      <c r="C50" s="18">
        <f>C48-C41</f>
        <v/>
      </c>
      <c r="D50" s="1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2026-01-29T17:44:18Z</dcterms:created>
  <dcterms:modified xsi:type="dcterms:W3CDTF">2026-01-29T18:22:53Z</dcterms:modified>
</cp:coreProperties>
</file>